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dploe\Downloads\"/>
    </mc:Choice>
  </mc:AlternateContent>
  <xr:revisionPtr revIDLastSave="0" documentId="8_{10585091-181E-409A-8383-D3AAB4FED1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G33" i="1"/>
  <c r="F33" i="1"/>
  <c r="H31" i="1"/>
  <c r="G31" i="1"/>
  <c r="F31" i="1"/>
  <c r="F15" i="1"/>
  <c r="F8" i="1"/>
  <c r="G3" i="1"/>
  <c r="H3" i="1" s="1"/>
  <c r="G4" i="1"/>
  <c r="H4" i="1" s="1"/>
  <c r="G5" i="1"/>
  <c r="H5" i="1" s="1"/>
  <c r="G6" i="1"/>
  <c r="H6" i="1" s="1"/>
  <c r="G7" i="1"/>
  <c r="H7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7" i="1"/>
  <c r="H17" i="1" s="1"/>
  <c r="G18" i="1"/>
  <c r="H18" i="1" s="1"/>
  <c r="G19" i="1"/>
  <c r="H19" i="1" s="1"/>
  <c r="G20" i="1"/>
  <c r="H20" i="1" s="1"/>
  <c r="G21" i="1"/>
  <c r="H21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H2" i="1"/>
  <c r="G15" i="1" l="1"/>
  <c r="H15" i="1" s="1"/>
  <c r="G8" i="1"/>
  <c r="H8" i="1" s="1"/>
</calcChain>
</file>

<file path=xl/sharedStrings.xml><?xml version="1.0" encoding="utf-8"?>
<sst xmlns="http://schemas.openxmlformats.org/spreadsheetml/2006/main" count="112" uniqueCount="45">
  <si>
    <t>FOV</t>
  </si>
  <si>
    <t>Well (Keyence)</t>
  </si>
  <si>
    <t>Well (Plate)</t>
  </si>
  <si>
    <t>Treatment</t>
  </si>
  <si>
    <t>XY01</t>
  </si>
  <si>
    <t>C06</t>
  </si>
  <si>
    <t>B1</t>
  </si>
  <si>
    <t>saRNA-Ngn2-eGFP (no polyO)</t>
  </si>
  <si>
    <t>XY02</t>
  </si>
  <si>
    <t>XY03</t>
  </si>
  <si>
    <t>XY04</t>
  </si>
  <si>
    <t>XY05</t>
  </si>
  <si>
    <t>XY06</t>
  </si>
  <si>
    <t>XY07</t>
  </si>
  <si>
    <t>B06</t>
  </si>
  <si>
    <t>C1</t>
  </si>
  <si>
    <t>XY08</t>
  </si>
  <si>
    <t>XY09</t>
  </si>
  <si>
    <t>XY10</t>
  </si>
  <si>
    <t>XY11</t>
  </si>
  <si>
    <t>XY12</t>
  </si>
  <si>
    <t>XY13</t>
  </si>
  <si>
    <t>B05</t>
  </si>
  <si>
    <t>C2</t>
  </si>
  <si>
    <t>secondary only control</t>
  </si>
  <si>
    <t>XY14</t>
  </si>
  <si>
    <t>XY15</t>
  </si>
  <si>
    <t>XY16</t>
  </si>
  <si>
    <t>XY17</t>
  </si>
  <si>
    <t>XY18</t>
  </si>
  <si>
    <t>C05</t>
  </si>
  <si>
    <t>B2</t>
  </si>
  <si>
    <t>XY19</t>
  </si>
  <si>
    <t>XY20</t>
  </si>
  <si>
    <t>XY21</t>
  </si>
  <si>
    <t>XY22</t>
  </si>
  <si>
    <t>XY23</t>
  </si>
  <si>
    <t>XY24</t>
  </si>
  <si>
    <t>XY25</t>
  </si>
  <si>
    <t># accepted objects</t>
  </si>
  <si>
    <t># SCs</t>
  </si>
  <si>
    <t xml:space="preserve">#iNs </t>
  </si>
  <si>
    <t>Purity %</t>
  </si>
  <si>
    <t>sum</t>
  </si>
  <si>
    <t>sum over all FOVs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</si>
</sst>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9" fontId="0" fillId="0" borderId="0" xfId="1" applyFont="1"/>
    <xf numFmtId="0" fontId="1" fillId="0" borderId="0" xfId="0" applyFont="1" applyAlignment="1">
      <alignment horizontal="center"/>
    </xf>
    <xf numFmtId="164" fontId="1" fillId="0" borderId="0" xfId="1" applyNumberFormat="1" applyFont="1" applyAlignment="1">
      <alignment horizontal="center"/>
    </xf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Q26" sqref="Q26"/>
    </sheetView>
  </sheetViews>
  <sheetFormatPr defaultRowHeight="15" x14ac:dyDescent="0.25"/>
  <cols>
    <col min="2" max="2" width="14" bestFit="1" customWidth="1"/>
    <col min="3" max="3" width="11" bestFit="1" customWidth="1"/>
    <col min="4" max="4" width="36.85546875" customWidth="1"/>
    <col min="5" max="5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5">
      <c r="A2" t="s">
        <v>4</v>
      </c>
      <c r="B2" t="s">
        <v>5</v>
      </c>
      <c r="C2" t="s">
        <v>6</v>
      </c>
      <c r="D2" t="s">
        <v>7</v>
      </c>
      <c r="E2">
        <v>67</v>
      </c>
      <c r="F2">
        <v>1</v>
      </c>
      <c r="G2">
        <v>66</v>
      </c>
      <c r="H2" s="2">
        <f>G2/E2</f>
        <v>0.9850746268656716</v>
      </c>
    </row>
    <row r="3" spans="1:8" x14ac:dyDescent="0.25">
      <c r="A3" t="s">
        <v>8</v>
      </c>
      <c r="B3" t="s">
        <v>5</v>
      </c>
      <c r="C3" t="s">
        <v>6</v>
      </c>
      <c r="D3" t="s">
        <v>7</v>
      </c>
      <c r="E3">
        <v>33</v>
      </c>
      <c r="F3">
        <v>3</v>
      </c>
      <c r="G3">
        <f t="shared" ref="G3:G7" si="0">E3-F3</f>
        <v>30</v>
      </c>
      <c r="H3" s="2">
        <f t="shared" ref="H3:H7" si="1">G3/E3</f>
        <v>0.90909090909090906</v>
      </c>
    </row>
    <row r="4" spans="1:8" x14ac:dyDescent="0.25">
      <c r="A4" t="s">
        <v>9</v>
      </c>
      <c r="B4" t="s">
        <v>5</v>
      </c>
      <c r="C4" t="s">
        <v>6</v>
      </c>
      <c r="D4" t="s">
        <v>7</v>
      </c>
      <c r="E4">
        <v>41</v>
      </c>
      <c r="F4">
        <v>1</v>
      </c>
      <c r="G4">
        <f t="shared" si="0"/>
        <v>40</v>
      </c>
      <c r="H4" s="2">
        <f t="shared" si="1"/>
        <v>0.97560975609756095</v>
      </c>
    </row>
    <row r="5" spans="1:8" x14ac:dyDescent="0.25">
      <c r="A5" t="s">
        <v>10</v>
      </c>
      <c r="B5" t="s">
        <v>5</v>
      </c>
      <c r="C5" t="s">
        <v>6</v>
      </c>
      <c r="D5" t="s">
        <v>7</v>
      </c>
      <c r="E5">
        <v>28</v>
      </c>
      <c r="F5">
        <v>2</v>
      </c>
      <c r="G5">
        <f t="shared" si="0"/>
        <v>26</v>
      </c>
      <c r="H5" s="2">
        <f t="shared" si="1"/>
        <v>0.9285714285714286</v>
      </c>
    </row>
    <row r="6" spans="1:8" x14ac:dyDescent="0.25">
      <c r="A6" t="s">
        <v>11</v>
      </c>
      <c r="B6" t="s">
        <v>5</v>
      </c>
      <c r="C6" t="s">
        <v>6</v>
      </c>
      <c r="D6" t="s">
        <v>7</v>
      </c>
      <c r="E6">
        <v>33</v>
      </c>
      <c r="F6">
        <v>2</v>
      </c>
      <c r="G6">
        <f t="shared" si="0"/>
        <v>31</v>
      </c>
      <c r="H6" s="2">
        <f t="shared" si="1"/>
        <v>0.93939393939393945</v>
      </c>
    </row>
    <row r="7" spans="1:8" x14ac:dyDescent="0.25">
      <c r="A7" t="s">
        <v>12</v>
      </c>
      <c r="B7" t="s">
        <v>5</v>
      </c>
      <c r="C7" t="s">
        <v>6</v>
      </c>
      <c r="D7" t="s">
        <v>7</v>
      </c>
      <c r="E7">
        <v>52</v>
      </c>
      <c r="F7">
        <v>3</v>
      </c>
      <c r="G7">
        <f t="shared" si="0"/>
        <v>49</v>
      </c>
      <c r="H7" s="2">
        <f t="shared" si="1"/>
        <v>0.94230769230769229</v>
      </c>
    </row>
    <row r="8" spans="1:8" x14ac:dyDescent="0.25">
      <c r="E8" s="3" t="s">
        <v>43</v>
      </c>
      <c r="F8" s="3">
        <f>SUM(F2:F7)</f>
        <v>12</v>
      </c>
      <c r="G8" s="3">
        <f>SUM(G2:G7)</f>
        <v>242</v>
      </c>
      <c r="H8" s="4">
        <f>G8/(F8+G8)</f>
        <v>0.952755905511811</v>
      </c>
    </row>
    <row r="9" spans="1:8" x14ac:dyDescent="0.25">
      <c r="A9" t="s">
        <v>13</v>
      </c>
      <c r="B9" t="s">
        <v>14</v>
      </c>
      <c r="C9" t="s">
        <v>15</v>
      </c>
      <c r="D9" t="s">
        <v>7</v>
      </c>
      <c r="E9">
        <v>17</v>
      </c>
      <c r="F9">
        <v>1</v>
      </c>
      <c r="G9">
        <f t="shared" ref="G9:G14" si="2">E9-F9</f>
        <v>16</v>
      </c>
      <c r="H9" s="2">
        <f t="shared" ref="H9:H14" si="3">G9/E9</f>
        <v>0.94117647058823528</v>
      </c>
    </row>
    <row r="10" spans="1:8" x14ac:dyDescent="0.25">
      <c r="A10" t="s">
        <v>16</v>
      </c>
      <c r="B10" t="s">
        <v>14</v>
      </c>
      <c r="C10" t="s">
        <v>15</v>
      </c>
      <c r="D10" t="s">
        <v>7</v>
      </c>
      <c r="E10">
        <v>22</v>
      </c>
      <c r="F10">
        <v>5</v>
      </c>
      <c r="G10">
        <f t="shared" si="2"/>
        <v>17</v>
      </c>
      <c r="H10" s="2">
        <f t="shared" si="3"/>
        <v>0.77272727272727271</v>
      </c>
    </row>
    <row r="11" spans="1:8" x14ac:dyDescent="0.25">
      <c r="A11" t="s">
        <v>17</v>
      </c>
      <c r="B11" t="s">
        <v>14</v>
      </c>
      <c r="C11" t="s">
        <v>15</v>
      </c>
      <c r="D11" t="s">
        <v>7</v>
      </c>
      <c r="E11">
        <v>29</v>
      </c>
      <c r="F11">
        <v>4</v>
      </c>
      <c r="G11">
        <f t="shared" si="2"/>
        <v>25</v>
      </c>
      <c r="H11" s="2">
        <f t="shared" si="3"/>
        <v>0.86206896551724133</v>
      </c>
    </row>
    <row r="12" spans="1:8" x14ac:dyDescent="0.25">
      <c r="A12" t="s">
        <v>18</v>
      </c>
      <c r="B12" t="s">
        <v>14</v>
      </c>
      <c r="C12" t="s">
        <v>15</v>
      </c>
      <c r="D12" t="s">
        <v>7</v>
      </c>
      <c r="E12">
        <v>20</v>
      </c>
      <c r="F12">
        <v>2</v>
      </c>
      <c r="G12">
        <f t="shared" si="2"/>
        <v>18</v>
      </c>
      <c r="H12" s="2">
        <f t="shared" si="3"/>
        <v>0.9</v>
      </c>
    </row>
    <row r="13" spans="1:8" x14ac:dyDescent="0.25">
      <c r="A13" t="s">
        <v>19</v>
      </c>
      <c r="B13" t="s">
        <v>14</v>
      </c>
      <c r="C13" t="s">
        <v>15</v>
      </c>
      <c r="D13" t="s">
        <v>7</v>
      </c>
      <c r="E13">
        <v>21</v>
      </c>
      <c r="F13">
        <v>3</v>
      </c>
      <c r="G13">
        <f t="shared" si="2"/>
        <v>18</v>
      </c>
      <c r="H13" s="2">
        <f t="shared" si="3"/>
        <v>0.8571428571428571</v>
      </c>
    </row>
    <row r="14" spans="1:8" x14ac:dyDescent="0.25">
      <c r="A14" t="s">
        <v>20</v>
      </c>
      <c r="B14" t="s">
        <v>14</v>
      </c>
      <c r="C14" t="s">
        <v>15</v>
      </c>
      <c r="D14" t="s">
        <v>7</v>
      </c>
      <c r="E14">
        <v>39</v>
      </c>
      <c r="F14">
        <v>3</v>
      </c>
      <c r="G14">
        <f t="shared" si="2"/>
        <v>36</v>
      </c>
      <c r="H14" s="2">
        <f t="shared" si="3"/>
        <v>0.92307692307692313</v>
      </c>
    </row>
    <row r="15" spans="1:8" x14ac:dyDescent="0.25">
      <c r="E15" s="3" t="s">
        <v>43</v>
      </c>
      <c r="F15" s="3">
        <f>SUM(F9:F14)</f>
        <v>18</v>
      </c>
      <c r="G15" s="3">
        <f>SUM(G9:G14)</f>
        <v>130</v>
      </c>
      <c r="H15" s="4">
        <f>G15/(F15+G15)</f>
        <v>0.8783783783783784</v>
      </c>
    </row>
    <row r="17" spans="1:14" x14ac:dyDescent="0.25">
      <c r="A17" t="s">
        <v>21</v>
      </c>
      <c r="B17" t="s">
        <v>22</v>
      </c>
      <c r="C17" t="s">
        <v>23</v>
      </c>
      <c r="D17" t="s">
        <v>24</v>
      </c>
      <c r="G17">
        <f>E17-F17</f>
        <v>0</v>
      </c>
      <c r="H17" s="2" t="e">
        <f>G17/E17</f>
        <v>#DIV/0!</v>
      </c>
      <c r="N17" s="5"/>
    </row>
    <row r="18" spans="1:14" x14ac:dyDescent="0.25">
      <c r="A18" t="s">
        <v>25</v>
      </c>
      <c r="B18" t="s">
        <v>22</v>
      </c>
      <c r="C18" t="s">
        <v>23</v>
      </c>
      <c r="D18" t="s">
        <v>24</v>
      </c>
      <c r="G18">
        <f>E18-F18</f>
        <v>0</v>
      </c>
      <c r="H18" s="2" t="e">
        <f>G18/E18</f>
        <v>#DIV/0!</v>
      </c>
      <c r="N18" s="5"/>
    </row>
    <row r="19" spans="1:14" x14ac:dyDescent="0.25">
      <c r="A19" t="s">
        <v>26</v>
      </c>
      <c r="B19" t="s">
        <v>22</v>
      </c>
      <c r="C19" t="s">
        <v>23</v>
      </c>
      <c r="D19" t="s">
        <v>24</v>
      </c>
      <c r="G19">
        <f>E19-F19</f>
        <v>0</v>
      </c>
      <c r="H19" s="2" t="e">
        <f>G19/E19</f>
        <v>#DIV/0!</v>
      </c>
      <c r="N19" s="5"/>
    </row>
    <row r="20" spans="1:14" x14ac:dyDescent="0.25">
      <c r="A20" t="s">
        <v>27</v>
      </c>
      <c r="B20" t="s">
        <v>22</v>
      </c>
      <c r="C20" t="s">
        <v>23</v>
      </c>
      <c r="D20" t="s">
        <v>24</v>
      </c>
      <c r="G20">
        <f>E20-F20</f>
        <v>0</v>
      </c>
      <c r="H20" s="2" t="e">
        <f>G20/E20</f>
        <v>#DIV/0!</v>
      </c>
      <c r="N20" s="5"/>
    </row>
    <row r="21" spans="1:14" x14ac:dyDescent="0.25">
      <c r="A21" t="s">
        <v>28</v>
      </c>
      <c r="B21" t="s">
        <v>22</v>
      </c>
      <c r="C21" t="s">
        <v>23</v>
      </c>
      <c r="D21" t="s">
        <v>24</v>
      </c>
      <c r="G21">
        <f>E21-F21</f>
        <v>0</v>
      </c>
      <c r="H21" s="2" t="e">
        <f>G21/E21</f>
        <v>#DIV/0!</v>
      </c>
    </row>
    <row r="23" spans="1:14" x14ac:dyDescent="0.25">
      <c r="A23" t="s">
        <v>29</v>
      </c>
      <c r="B23" t="s">
        <v>30</v>
      </c>
      <c r="C23" t="s">
        <v>31</v>
      </c>
      <c r="D23" t="s">
        <v>7</v>
      </c>
      <c r="E23">
        <v>35</v>
      </c>
      <c r="F23">
        <v>3</v>
      </c>
      <c r="G23">
        <f t="shared" ref="G23:G30" si="4">E23-F23</f>
        <v>32</v>
      </c>
      <c r="H23" s="2">
        <f t="shared" ref="H23:H30" si="5">G23/E23</f>
        <v>0.91428571428571426</v>
      </c>
    </row>
    <row r="24" spans="1:14" x14ac:dyDescent="0.25">
      <c r="A24" t="s">
        <v>32</v>
      </c>
      <c r="B24" t="s">
        <v>30</v>
      </c>
      <c r="C24" t="s">
        <v>31</v>
      </c>
      <c r="D24" t="s">
        <v>7</v>
      </c>
      <c r="E24">
        <v>73</v>
      </c>
      <c r="F24">
        <v>2</v>
      </c>
      <c r="G24">
        <f t="shared" si="4"/>
        <v>71</v>
      </c>
      <c r="H24" s="2">
        <f t="shared" si="5"/>
        <v>0.9726027397260274</v>
      </c>
    </row>
    <row r="25" spans="1:14" x14ac:dyDescent="0.25">
      <c r="A25" t="s">
        <v>33</v>
      </c>
      <c r="B25" t="s">
        <v>30</v>
      </c>
      <c r="C25" t="s">
        <v>31</v>
      </c>
      <c r="D25" t="s">
        <v>7</v>
      </c>
      <c r="E25">
        <v>54</v>
      </c>
      <c r="F25">
        <v>5</v>
      </c>
      <c r="G25">
        <f t="shared" si="4"/>
        <v>49</v>
      </c>
      <c r="H25" s="2">
        <f t="shared" si="5"/>
        <v>0.90740740740740744</v>
      </c>
    </row>
    <row r="26" spans="1:14" x14ac:dyDescent="0.25">
      <c r="A26" t="s">
        <v>34</v>
      </c>
      <c r="B26" t="s">
        <v>30</v>
      </c>
      <c r="C26" t="s">
        <v>31</v>
      </c>
      <c r="D26" t="s">
        <v>7</v>
      </c>
      <c r="E26">
        <v>118</v>
      </c>
      <c r="F26">
        <v>4</v>
      </c>
      <c r="G26">
        <f t="shared" si="4"/>
        <v>114</v>
      </c>
      <c r="H26" s="2">
        <f t="shared" si="5"/>
        <v>0.96610169491525422</v>
      </c>
    </row>
    <row r="27" spans="1:14" x14ac:dyDescent="0.25">
      <c r="A27" t="s">
        <v>35</v>
      </c>
      <c r="B27" t="s">
        <v>30</v>
      </c>
      <c r="C27" t="s">
        <v>31</v>
      </c>
      <c r="D27" t="s">
        <v>7</v>
      </c>
      <c r="E27">
        <v>56</v>
      </c>
      <c r="F27">
        <v>5</v>
      </c>
      <c r="G27">
        <f t="shared" si="4"/>
        <v>51</v>
      </c>
      <c r="H27" s="2">
        <f t="shared" si="5"/>
        <v>0.9107142857142857</v>
      </c>
    </row>
    <row r="28" spans="1:14" x14ac:dyDescent="0.25">
      <c r="A28" t="s">
        <v>36</v>
      </c>
      <c r="B28" t="s">
        <v>30</v>
      </c>
      <c r="C28" t="s">
        <v>31</v>
      </c>
      <c r="D28" t="s">
        <v>7</v>
      </c>
      <c r="E28">
        <v>76</v>
      </c>
      <c r="F28">
        <v>3</v>
      </c>
      <c r="G28">
        <f t="shared" si="4"/>
        <v>73</v>
      </c>
      <c r="H28" s="2">
        <f t="shared" si="5"/>
        <v>0.96052631578947367</v>
      </c>
    </row>
    <row r="29" spans="1:14" x14ac:dyDescent="0.25">
      <c r="A29" t="s">
        <v>37</v>
      </c>
      <c r="B29" t="s">
        <v>30</v>
      </c>
      <c r="C29" t="s">
        <v>31</v>
      </c>
      <c r="D29" t="s">
        <v>7</v>
      </c>
      <c r="E29">
        <v>149</v>
      </c>
      <c r="F29">
        <v>5</v>
      </c>
      <c r="G29">
        <f t="shared" si="4"/>
        <v>144</v>
      </c>
      <c r="H29" s="2">
        <f t="shared" si="5"/>
        <v>0.96644295302013428</v>
      </c>
    </row>
    <row r="30" spans="1:14" x14ac:dyDescent="0.25">
      <c r="A30" t="s">
        <v>38</v>
      </c>
      <c r="B30" t="s">
        <v>30</v>
      </c>
      <c r="C30" t="s">
        <v>31</v>
      </c>
      <c r="D30" t="s">
        <v>7</v>
      </c>
      <c r="E30">
        <v>56</v>
      </c>
      <c r="F30">
        <v>6</v>
      </c>
      <c r="G30">
        <f t="shared" si="4"/>
        <v>50</v>
      </c>
      <c r="H30" s="2">
        <f t="shared" si="5"/>
        <v>0.8928571428571429</v>
      </c>
    </row>
    <row r="31" spans="1:14" x14ac:dyDescent="0.25">
      <c r="E31" s="3" t="s">
        <v>43</v>
      </c>
      <c r="F31" s="3">
        <f>SUM(F23:F30)</f>
        <v>33</v>
      </c>
      <c r="G31" s="3">
        <f>SUM(G23:G30)</f>
        <v>584</v>
      </c>
      <c r="H31" s="4">
        <f>G31/(F31+G31)</f>
        <v>0.94651539708265797</v>
      </c>
    </row>
    <row r="33" spans="5:8" x14ac:dyDescent="0.25">
      <c r="E33" t="s">
        <v>44</v>
      </c>
      <c r="F33">
        <f>SUM(F8,F15,F31)</f>
        <v>63</v>
      </c>
      <c r="G33">
        <f>SUM(G8,G15,G31)</f>
        <v>956</v>
      </c>
      <c r="H33">
        <f>G33/(F33+G33)</f>
        <v>0.93817468105986257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6B9959B0AF014881FAB97D6A30CF41" ma:contentTypeVersion="11" ma:contentTypeDescription="Create a new document." ma:contentTypeScope="" ma:versionID="44f54ef96aee5010c921d032bdabd8e7">
  <xsd:schema xmlns:xsd="http://www.w3.org/2001/XMLSchema" xmlns:xs="http://www.w3.org/2001/XMLSchema" xmlns:p="http://schemas.microsoft.com/office/2006/metadata/properties" xmlns:ns2="942e2d3d-e6ba-4f41-92b8-4f25577c0b4f" xmlns:ns3="5f7106ca-e72e-4322-91f6-5e42979c5548" targetNamespace="http://schemas.microsoft.com/office/2006/metadata/properties" ma:root="true" ma:fieldsID="c2439aead256086797e1e8b29d9ff0ee" ns2:_="" ns3:_="">
    <xsd:import namespace="942e2d3d-e6ba-4f41-92b8-4f25577c0b4f"/>
    <xsd:import namespace="5f7106ca-e72e-4322-91f6-5e42979c55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e2d3d-e6ba-4f41-92b8-4f25577c0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106ca-e72e-4322-91f6-5e42979c554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c1e27f0-c4ac-4785-8708-9ad248cbf788}" ma:internalName="TaxCatchAll" ma:showField="CatchAllData" ma:web="5f7106ca-e72e-4322-91f6-5e42979c5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7106ca-e72e-4322-91f6-5e42979c5548" xsi:nil="true"/>
    <lcf76f155ced4ddcb4097134ff3c332f xmlns="942e2d3d-e6ba-4f41-92b8-4f25577c0b4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C0473C-6F2A-4256-AFA5-59B5840225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2e2d3d-e6ba-4f41-92b8-4f25577c0b4f"/>
    <ds:schemaRef ds:uri="5f7106ca-e72e-4322-91f6-5e42979c5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B45A53-6AB1-473B-8691-BF7E710F2C14}">
  <ds:schemaRefs>
    <ds:schemaRef ds:uri="http://schemas.microsoft.com/office/2006/metadata/properties"/>
    <ds:schemaRef ds:uri="http://schemas.microsoft.com/office/infopath/2007/PartnerControls"/>
    <ds:schemaRef ds:uri="5f7106ca-e72e-4322-91f6-5e42979c5548"/>
    <ds:schemaRef ds:uri="942e2d3d-e6ba-4f41-92b8-4f25577c0b4f"/>
  </ds:schemaRefs>
</ds:datastoreItem>
</file>

<file path=customXml/itemProps3.xml><?xml version="1.0" encoding="utf-8"?>
<ds:datastoreItem xmlns:ds="http://schemas.openxmlformats.org/officeDocument/2006/customXml" ds:itemID="{81C4673F-DB3D-465F-911F-905EEA9F16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Deon Ploessl</cp:lastModifiedBy>
  <cp:revision/>
  <dcterms:created xsi:type="dcterms:W3CDTF">2025-09-15T22:09:40Z</dcterms:created>
  <dcterms:modified xsi:type="dcterms:W3CDTF">2025-09-17T22:09:30Z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0x010100836B9959B0AF014881FAB97D6A30CF41</vt:lpwstr>
  </property>
  <property fmtid="{D5CDD505-2E9C-101B-9397-08002B2CF9AE}" pid="3" name="MediaServiceImageTags">
    <vt:lpwstr/>
  </property>
</Properties>
</file>