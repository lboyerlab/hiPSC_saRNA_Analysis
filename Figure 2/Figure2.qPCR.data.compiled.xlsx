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loe\Downloads\"/>
    </mc:Choice>
  </mc:AlternateContent>
  <xr:revisionPtr revIDLastSave="0" documentId="8_{88C6683E-4277-482A-9FE6-BCB4CB57EAB9}" xr6:coauthVersionLast="47" xr6:coauthVersionMax="47" xr10:uidLastSave="{00000000-0000-0000-0000-000000000000}"/>
  <bookViews>
    <workbookView xWindow="28680" yWindow="-120" windowWidth="29040" windowHeight="15720" activeTab="3" xr2:uid="{1B1B7C1A-3CCE-4B40-B4C9-C10D49C9F0C6}"/>
  </bookViews>
  <sheets>
    <sheet name="qPCR.primers.iNeurons" sheetId="1" r:id="rId1"/>
    <sheet name="qPCR-raw-data" sheetId="3" r:id="rId2"/>
    <sheet name="plate.layout.raw.Ct.values" sheetId="2" r:id="rId3"/>
    <sheet name="qPCR.analyzed" sheetId="4" r:id="rId4"/>
  </sheets>
  <definedNames>
    <definedName name="_xlnm._FilterDatabase" localSheetId="1" hidden="1">'qPCR-raw-data'!$A$1:$H$386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L13" i="4"/>
  <c r="L14" i="4"/>
  <c r="L4" i="4"/>
  <c r="K5" i="4"/>
  <c r="K6" i="4"/>
  <c r="K7" i="4"/>
  <c r="K8" i="4"/>
  <c r="K9" i="4"/>
  <c r="K10" i="4"/>
  <c r="K11" i="4"/>
  <c r="K12" i="4"/>
  <c r="K13" i="4"/>
  <c r="K14" i="4"/>
  <c r="K4" i="4"/>
  <c r="J5" i="4"/>
  <c r="J6" i="4"/>
  <c r="J7" i="4"/>
  <c r="J8" i="4"/>
  <c r="M8" i="4" s="1"/>
  <c r="J9" i="4"/>
  <c r="M9" i="4" s="1"/>
  <c r="J10" i="4"/>
  <c r="M10" i="4" s="1"/>
  <c r="J11" i="4"/>
  <c r="J12" i="4"/>
  <c r="J13" i="4"/>
  <c r="J14" i="4"/>
  <c r="J4" i="4"/>
  <c r="E5" i="4"/>
  <c r="E6" i="4"/>
  <c r="E7" i="4"/>
  <c r="E8" i="4"/>
  <c r="E9" i="4"/>
  <c r="E10" i="4"/>
  <c r="E11" i="4"/>
  <c r="E12" i="4"/>
  <c r="E13" i="4"/>
  <c r="E14" i="4"/>
  <c r="D5" i="4"/>
  <c r="D6" i="4"/>
  <c r="D7" i="4"/>
  <c r="D8" i="4"/>
  <c r="D9" i="4"/>
  <c r="D10" i="4"/>
  <c r="F10" i="4" s="1"/>
  <c r="D11" i="4"/>
  <c r="D12" i="4"/>
  <c r="D13" i="4"/>
  <c r="D14" i="4"/>
  <c r="E4" i="4"/>
  <c r="D4" i="4"/>
  <c r="C5" i="4"/>
  <c r="C6" i="4"/>
  <c r="C7" i="4"/>
  <c r="F7" i="4" s="1"/>
  <c r="C8" i="4"/>
  <c r="F8" i="4" s="1"/>
  <c r="C9" i="4"/>
  <c r="F9" i="4" s="1"/>
  <c r="C10" i="4"/>
  <c r="C11" i="4"/>
  <c r="C12" i="4"/>
  <c r="C13" i="4"/>
  <c r="C14" i="4"/>
  <c r="C4" i="4"/>
  <c r="F4" i="4" s="1"/>
  <c r="F13" i="4" l="1"/>
  <c r="F5" i="4"/>
  <c r="M4" i="4"/>
  <c r="M7" i="4"/>
  <c r="M13" i="4"/>
  <c r="M5" i="4"/>
  <c r="N5" i="4" s="1"/>
  <c r="O5" i="4" s="1"/>
  <c r="P5" i="4" s="1"/>
  <c r="F12" i="4"/>
  <c r="G12" i="4" s="1"/>
  <c r="H12" i="4" s="1"/>
  <c r="I12" i="4" s="1"/>
  <c r="M14" i="4"/>
  <c r="N14" i="4" s="1"/>
  <c r="O14" i="4" s="1"/>
  <c r="P14" i="4" s="1"/>
  <c r="M6" i="4"/>
  <c r="F11" i="4"/>
  <c r="M12" i="4"/>
  <c r="M11" i="4"/>
  <c r="F14" i="4"/>
  <c r="G14" i="4" s="1"/>
  <c r="H14" i="4" s="1"/>
  <c r="I14" i="4" s="1"/>
  <c r="F6" i="4"/>
  <c r="G6" i="4" s="1"/>
  <c r="H6" i="4" s="1"/>
  <c r="I6" i="4" s="1"/>
  <c r="G5" i="4"/>
  <c r="H5" i="4" s="1"/>
  <c r="I5" i="4" s="1"/>
  <c r="G4" i="4" l="1"/>
  <c r="H4" i="4" s="1"/>
  <c r="I4" i="4" s="1"/>
  <c r="N8" i="4"/>
  <c r="O8" i="4" s="1"/>
  <c r="P8" i="4" s="1"/>
  <c r="N13" i="4"/>
  <c r="O13" i="4" s="1"/>
  <c r="P13" i="4" s="1"/>
  <c r="G13" i="4"/>
  <c r="H13" i="4" s="1"/>
  <c r="I13" i="4" s="1"/>
  <c r="G10" i="4"/>
  <c r="H10" i="4" s="1"/>
  <c r="I10" i="4" s="1"/>
  <c r="G7" i="4"/>
  <c r="H7" i="4" s="1"/>
  <c r="I7" i="4" s="1"/>
  <c r="N11" i="4"/>
  <c r="O11" i="4" s="1"/>
  <c r="P11" i="4" s="1"/>
  <c r="N7" i="4"/>
  <c r="O7" i="4" s="1"/>
  <c r="P7" i="4" s="1"/>
  <c r="G8" i="4"/>
  <c r="H8" i="4" s="1"/>
  <c r="I8" i="4" s="1"/>
  <c r="N12" i="4"/>
  <c r="O12" i="4" s="1"/>
  <c r="P12" i="4" s="1"/>
  <c r="N4" i="4"/>
  <c r="O4" i="4" s="1"/>
  <c r="P4" i="4" s="1"/>
  <c r="N6" i="4"/>
  <c r="O6" i="4" s="1"/>
  <c r="P6" i="4" s="1"/>
  <c r="G9" i="4"/>
  <c r="H9" i="4" s="1"/>
  <c r="I9" i="4" s="1"/>
  <c r="G11" i="4"/>
  <c r="H11" i="4" s="1"/>
  <c r="I11" i="4" s="1"/>
  <c r="N9" i="4"/>
  <c r="O9" i="4" s="1"/>
  <c r="P9" i="4" s="1"/>
  <c r="N10" i="4"/>
  <c r="O10" i="4" s="1"/>
  <c r="P10" i="4" s="1"/>
</calcChain>
</file>

<file path=xl/sharedStrings.xml><?xml version="1.0" encoding="utf-8"?>
<sst xmlns="http://schemas.openxmlformats.org/spreadsheetml/2006/main" count="524" uniqueCount="493">
  <si>
    <t>GTGGTTCCTGCATGAAGACAGTG</t>
  </si>
  <si>
    <t>TTCTGATGGCGGACTTTACCG</t>
  </si>
  <si>
    <t>mNGN2-Fwd</t>
  </si>
  <si>
    <t>mNGN2-Rev</t>
  </si>
  <si>
    <t>eGFP-Fwd</t>
  </si>
  <si>
    <t>eGFP-Rev</t>
  </si>
  <si>
    <t>BRN2-Fwd</t>
  </si>
  <si>
    <t>ACCCGCTTTATCGAAGGCAA</t>
  </si>
  <si>
    <t>BRN2-Rev</t>
  </si>
  <si>
    <t>CCTCCATAACCTCCCCCAGA</t>
  </si>
  <si>
    <t>ISL1-Fwd</t>
  </si>
  <si>
    <t>AAGGTGGAGCTGCATTGGTTTG</t>
  </si>
  <si>
    <t>ISL1-Rev</t>
  </si>
  <si>
    <t>TAAACCAGCTACAGGACAGGCC</t>
  </si>
  <si>
    <t>Nestin-Fwd</t>
  </si>
  <si>
    <t>Nestin-Rev</t>
  </si>
  <si>
    <t>AAGCTGAGGGAAGTCTTGGAGC</t>
  </si>
  <si>
    <t>MAP2-Fwd</t>
  </si>
  <si>
    <t>AGACTGCAGCTCTGCCTTTAG</t>
  </si>
  <si>
    <t>MAP2-Rev</t>
  </si>
  <si>
    <t>AGGCTGTAAGTAAATCTTCCTCC</t>
  </si>
  <si>
    <t>TUBB3-Fwd</t>
  </si>
  <si>
    <t>CAACCAGATCGGGGCCAAGTT</t>
  </si>
  <si>
    <t>TUBB3-Rev</t>
  </si>
  <si>
    <t>CCGAGTCGCCCACGTAGTT</t>
  </si>
  <si>
    <t>GRIA4-Fwd</t>
  </si>
  <si>
    <t>GGCCAGGGAATTGACATGGA</t>
  </si>
  <si>
    <t>GRIA4-Rev</t>
  </si>
  <si>
    <t>AACCAACCTTTCTAGGTCCTGTG</t>
  </si>
  <si>
    <t>SYP-Fwd</t>
  </si>
  <si>
    <t>ACCTCGGGACTCAACACCTCGG</t>
  </si>
  <si>
    <t>SYP-Rev</t>
  </si>
  <si>
    <t>GAACCACAGGTTGCCGACCCAG</t>
  </si>
  <si>
    <t>VGLUT2-Fwd</t>
  </si>
  <si>
    <t>GTAGACTGGCAACCACCTCC</t>
  </si>
  <si>
    <t>VGLUT2-Rev</t>
  </si>
  <si>
    <t>CCATTCCAAAGCTTCCGTAGAC</t>
  </si>
  <si>
    <t>RPL37A-Fwd</t>
  </si>
  <si>
    <t>RPL37A-Rev</t>
  </si>
  <si>
    <t>AGTCCGCCCTGAGCAAAGA</t>
  </si>
  <si>
    <t>TCCAGCAGGACCATGTGATC</t>
  </si>
  <si>
    <t>AGACGGTGCAGCGCATCAAGAA</t>
  </si>
  <si>
    <t>AGCGTCTCGATCTTCGTGAGCT</t>
  </si>
  <si>
    <t>Primer</t>
  </si>
  <si>
    <t>Sequence (5'-3')</t>
  </si>
  <si>
    <t>iN-1a</t>
  </si>
  <si>
    <t>iN-1b</t>
  </si>
  <si>
    <t>iN-1c</t>
  </si>
  <si>
    <t>iN-2a</t>
  </si>
  <si>
    <t>iN-2b</t>
  </si>
  <si>
    <t>iN-2c</t>
  </si>
  <si>
    <t>iN-3a</t>
  </si>
  <si>
    <t>iN-3b</t>
  </si>
  <si>
    <t>iN-3c</t>
  </si>
  <si>
    <t>iPSC-1a</t>
  </si>
  <si>
    <t>iPSC-1b</t>
  </si>
  <si>
    <t>iPSC-1c</t>
  </si>
  <si>
    <t>iPSC-2a</t>
  </si>
  <si>
    <t>iPSC-2b</t>
  </si>
  <si>
    <t>iPSC-2c</t>
  </si>
  <si>
    <t>iPSC-3a</t>
  </si>
  <si>
    <t>iPSC-3b</t>
  </si>
  <si>
    <t>iPSC-3c</t>
  </si>
  <si>
    <t>eGFP-2</t>
  </si>
  <si>
    <t>B</t>
  </si>
  <si>
    <t>mNgn2</t>
  </si>
  <si>
    <t>C</t>
  </si>
  <si>
    <t>BRN2</t>
  </si>
  <si>
    <t>E</t>
  </si>
  <si>
    <t>ISL1</t>
  </si>
  <si>
    <t>F</t>
  </si>
  <si>
    <t>Nestin</t>
  </si>
  <si>
    <t>G</t>
  </si>
  <si>
    <t>MAP2</t>
  </si>
  <si>
    <t>H</t>
  </si>
  <si>
    <t>TUBB3</t>
  </si>
  <si>
    <t>I</t>
  </si>
  <si>
    <t>GRIA4</t>
  </si>
  <si>
    <t xml:space="preserve">J </t>
  </si>
  <si>
    <t>SYP</t>
  </si>
  <si>
    <t xml:space="preserve">K </t>
  </si>
  <si>
    <t>VGLUT2</t>
  </si>
  <si>
    <t>L</t>
  </si>
  <si>
    <t>RPL47A</t>
  </si>
  <si>
    <t>M</t>
  </si>
  <si>
    <t>Experiment: 2025.04.09-DSP-GallowayLab.iN.qPCR  Selected Filter: SYBR Green I / HRM Dye (465-510)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</si>
  <si>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</si>
  <si>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</si>
  <si>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</si>
  <si>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</si>
  <si>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</si>
  <si>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</si>
  <si>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</si>
  <si>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</si>
  <si>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</si>
  <si>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</si>
  <si>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</si>
  <si>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</si>
  <si>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</si>
  <si>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</si>
  <si>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</si>
  <si>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</si>
  <si>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</si>
  <si>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</si>
  <si>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</si>
  <si>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</si>
  <si>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</si>
  <si>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</si>
  <si>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</si>
  <si>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</si>
  <si>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</si>
  <si>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</si>
  <si>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</si>
  <si>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</si>
  <si>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</si>
  <si>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</si>
  <si>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</si>
  <si>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</si>
  <si>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</si>
  <si>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</si>
  <si>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</si>
  <si>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</si>
  <si>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</si>
  <si>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</si>
  <si>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</si>
  <si>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</si>
  <si>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</si>
  <si>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</si>
  <si>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</si>
  <si>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</si>
  <si>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</si>
  <si>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</si>
  <si>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</si>
  <si>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</si>
  <si>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</si>
  <si>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</si>
  <si>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</si>
  <si>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</si>
  <si>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</si>
  <si>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</si>
  <si>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</si>
  <si>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</si>
  <si>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</si>
  <si>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</si>
  <si>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</si>
  <si>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</si>
  <si>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</si>
  <si>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</si>
  <si>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</si>
  <si>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</si>
  <si>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</si>
  <si>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</si>
  <si>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</si>
  <si>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</si>
  <si>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</si>
  <si>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</si>
  <si>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</si>
  <si>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</si>
  <si>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</si>
  <si>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</si>
  <si>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</si>
  <si>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</si>
  <si>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</si>
  <si>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</si>
  <si>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</si>
  <si>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</si>
  <si>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</si>
  <si>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</si>
  <si>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</si>
  <si>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</si>
  <si>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</si>
  <si>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</si>
  <si>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</si>
  <si>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</si>
  <si>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</si>
  <si>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</si>
  <si>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</si>
  <si>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</si>
  <si>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</si>
  <si>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</si>
  <si>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</si>
  <si>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</si>
  <si>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</si>
  <si>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</si>
  <si>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</si>
  <si>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</si>
  <si>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</si>
  <si>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</si>
  <si>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</si>
  <si>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</si>
  <si>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</si>
  <si>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</si>
  <si>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</si>
  <si>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</si>
  <si>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</si>
  <si>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</si>
  <si>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</si>
  <si>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</si>
  <si>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</si>
  <si>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</si>
  <si>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</si>
  <si>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</si>
  <si>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</si>
  <si>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</si>
  <si>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</si>
  <si>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</si>
  <si>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</si>
  <si>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</si>
  <si>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</si>
  <si>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</si>
  <si>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</si>
  <si>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</si>
  <si>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</si>
  <si>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</si>
  <si>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</si>
  <si>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</si>
  <si>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</si>
  <si>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</si>
  <si>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</si>
  <si>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</si>
  <si>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</si>
  <si>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</si>
  <si>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</si>
  <si>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</si>
  <si>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</si>
  <si>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</si>
  <si>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</si>
  <si>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</si>
  <si>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</si>
  <si>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</si>
  <si>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</si>
  <si>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</si>
  <si>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</si>
  <si>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</si>
  <si>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</si>
  <si>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</si>
  <si>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</si>
  <si>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</si>
  <si>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</si>
  <si>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</si>
  <si>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</si>
  <si>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</si>
  <si>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</si>
  <si>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</si>
  <si>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</si>
  <si>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</si>
  <si>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</si>
  <si>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</si>
  <si>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</si>
  <si>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</si>
  <si>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</si>
  <si>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</si>
  <si>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</si>
  <si>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</si>
  <si>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</si>
  <si>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</si>
  <si>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</si>
  <si>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</si>
  <si>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</si>
  <si>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</si>
  <si>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</si>
  <si>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</si>
  <si>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</si>
  <si>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</si>
  <si>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</si>
  <si>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</si>
  <si>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</si>
  <si>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&gt; - Late Cp call (last five cycles) has higher uncertainty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</si>
  <si>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</si>
  <si>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</si>
  <si>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</si>
  <si>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</si>
  <si>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</si>
  <si>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</si>
  <si>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</si>
  <si>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</si>
  <si>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</si>
  <si>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</si>
  <si>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</si>
  <si>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</si>
  <si>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</si>
  <si>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</si>
  <si>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</si>
  <si>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</si>
  <si>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</si>
  <si>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</si>
  <si>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</si>
  <si>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</si>
  <si>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</si>
  <si>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</si>
  <si>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</si>
  <si>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</si>
  <si>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</si>
  <si>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</si>
  <si>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</si>
  <si>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</si>
  <si>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</si>
  <si>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</si>
  <si>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</si>
  <si>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</si>
  <si>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</si>
  <si>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</si>
  <si>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</si>
  <si>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</si>
  <si>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</si>
  <si>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</si>
  <si>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</si>
  <si>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</si>
  <si>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</si>
  <si>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</si>
  <si>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</si>
  <si>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</si>
  <si>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</si>
  <si>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</si>
  <si>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</si>
  <si>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</si>
  <si>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</si>
  <si>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</si>
  <si>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</si>
  <si>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</si>
  <si>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</si>
  <si>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</si>
  <si>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</si>
  <si>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</si>
  <si>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</si>
  <si>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</si>
  <si>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</si>
  <si>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</si>
  <si>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</si>
  <si>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</si>
  <si>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</si>
  <si>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</si>
  <si>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</si>
  <si>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</si>
  <si>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</si>
  <si>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</si>
  <si>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</si>
  <si>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</si>
  <si>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</si>
  <si>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</si>
  <si>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</si>
  <si>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</si>
  <si>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</si>
  <si>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</si>
  <si>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</si>
  <si>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</si>
  <si>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? - Detector Call uncertain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</si>
  <si>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</si>
  <si>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</si>
  <si>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</si>
  <si>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</si>
  <si>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</si>
  <si>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</si>
  <si>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</si>
  <si>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</si>
  <si>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</si>
  <si>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</si>
  <si>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</si>
  <si>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</si>
  <si>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</si>
  <si>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</si>
  <si>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</si>
  <si>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</si>
  <si>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</si>
  <si>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</si>
  <si>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</si>
  <si>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</si>
  <si>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</si>
  <si>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</si>
  <si>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</si>
  <si>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</si>
  <si>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</si>
  <si>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</si>
  <si>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</si>
  <si>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</si>
  <si>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</si>
  <si>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</si>
  <si>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</si>
  <si>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</si>
  <si>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</si>
  <si>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</si>
  <si>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</si>
  <si>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</si>
  <si>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</si>
  <si>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</si>
  <si>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</si>
  <si>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</si>
  <si>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</si>
  <si>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</si>
  <si>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</si>
  <si>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</si>
  <si>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</si>
  <si>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</si>
  <si>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</si>
  <si>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</si>
  <si>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</si>
  <si>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</si>
  <si>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</si>
  <si>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</si>
  <si>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</si>
  <si>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</si>
  <si>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</si>
  <si>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</si>
  <si>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</si>
  <si>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</si>
  <si>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</si>
  <si>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</si>
  <si>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</si>
  <si>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</si>
  <si>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</si>
  <si>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</si>
  <si>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</si>
  <si>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</si>
  <si>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</si>
  <si>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</si>
  <si>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</si>
  <si>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</si>
  <si>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</si>
  <si>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</si>
  <si>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</si>
  <si>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</si>
  <si>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</si>
  <si>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</si>
  <si>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</si>
  <si>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</si>
  <si>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</si>
  <si>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</si>
  <si>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</si>
  <si>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</si>
  <si>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</si>
  <si>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</si>
  <si>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</si>
  <si>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</si>
  <si>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</si>
  <si>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</si>
  <si>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</si>
  <si>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</si>
  <si>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</si>
  <si>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</si>
  <si>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</si>
  <si>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</si>
  <si>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</si>
  <si>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</si>
  <si>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</si>
  <si>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</si>
  <si>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</si>
  <si>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</si>
  <si>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</si>
  <si>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</si>
  <si>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</si>
  <si>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</si>
  <si>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</si>
  <si>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</si>
  <si>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</si>
  <si>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</si>
  <si>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</si>
  <si>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</si>
  <si>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</si>
  <si>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</si>
  <si>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</si>
  <si>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</si>
  <si>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</si>
  <si>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</si>
  <si>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</si>
  <si>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</si>
  <si>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</si>
  <si>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</si>
  <si>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</si>
  <si>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</si>
  <si>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</si>
  <si>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</si>
  <si>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</si>
  <si>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Include</t>
  </si>
  <si>
    <t>Color</t>
  </si>
  <si>
    <t>Pos</t>
  </si>
  <si>
    <t>Name</t>
  </si>
  <si>
    <t>Cp</t>
  </si>
  <si>
    <t>Concentration</t>
  </si>
  <si>
    <t>Standard</t>
  </si>
  <si>
    <t>Status</t>
  </si>
  <si>
    <t>iN-1</t>
  </si>
  <si>
    <t>iN-2</t>
  </si>
  <si>
    <t>iN-3</t>
  </si>
  <si>
    <t>Mean Ct tech reps</t>
  </si>
  <si>
    <t>iNs</t>
  </si>
  <si>
    <t>mean Ct</t>
  </si>
  <si>
    <t>deltaCt</t>
  </si>
  <si>
    <t>iPSC-1</t>
  </si>
  <si>
    <t>iPSC-2</t>
  </si>
  <si>
    <t>iPSC-3</t>
  </si>
  <si>
    <t>iPSCs</t>
  </si>
  <si>
    <t>2^(-deltaCt)</t>
  </si>
  <si>
    <t>log10(2^(-deltaCt))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</si>
</sst>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2" xfId="0" applyFill="1" applyBorder="1"/>
    <xf numFmtId="0" fontId="0" fillId="3" borderId="3" xfId="0" applyFill="1" applyBorder="1"/>
    <xf numFmtId="0" fontId="0" fillId="0" borderId="0" xfId="0" applyAlignment="1">
      <alignment horizontal="center"/>
    </xf>
    <xf numFmtId="164" fontId="0" fillId="0" borderId="0" xfId="0" applyNumberFormat="1"/>
    <xf numFmtId="0" fontId="1" fillId="2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3" fillId="4" borderId="6" xfId="0" applyFont="1" applyFill="1" applyBorder="1"/>
    <xf numFmtId="0" fontId="0" fillId="0" borderId="6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2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3BFD-9FEC-4064-9D14-FCFD86D2E4F2}">
  <sheetPr>
    <pageSetUpPr fitToPage="1"/>
  </sheetPr>
  <dimension ref="A1:H40"/>
  <sheetViews>
    <sheetView workbookViewId="0">
      <selection sqref="A1:B23"/>
    </sheetView>
  </sheetViews>
  <sheetFormatPr defaultRowHeight="15" x14ac:dyDescent="0.25"/>
  <cols>
    <col min="1" max="1" width="15.42578125" customWidth="1"/>
    <col min="2" max="2" width="37" customWidth="1"/>
    <col min="3" max="3" width="39.42578125" customWidth="1"/>
  </cols>
  <sheetData>
    <row r="1" spans="1:8" ht="15.75" thickBot="1" x14ac:dyDescent="0.3">
      <c r="A1" s="10" t="s">
        <v>43</v>
      </c>
      <c r="B1" s="10" t="s">
        <v>44</v>
      </c>
      <c r="C1" s="7"/>
      <c r="D1" s="1"/>
      <c r="E1" s="1"/>
      <c r="F1" s="1"/>
      <c r="G1" s="1"/>
      <c r="H1" s="1"/>
    </row>
    <row r="2" spans="1:8" ht="15.75" thickBot="1" x14ac:dyDescent="0.3">
      <c r="A2" s="11" t="s">
        <v>4</v>
      </c>
      <c r="B2" s="12" t="s">
        <v>39</v>
      </c>
      <c r="C2" s="8"/>
      <c r="D2" s="2"/>
      <c r="E2" s="2"/>
      <c r="F2" s="2"/>
      <c r="G2" s="2"/>
      <c r="H2" s="2"/>
    </row>
    <row r="3" spans="1:8" ht="15.75" thickBot="1" x14ac:dyDescent="0.3">
      <c r="A3" s="11" t="s">
        <v>5</v>
      </c>
      <c r="B3" s="12" t="s">
        <v>40</v>
      </c>
      <c r="C3" s="7"/>
      <c r="D3" s="1"/>
      <c r="E3" s="1"/>
      <c r="F3" s="1"/>
      <c r="G3" s="1"/>
      <c r="H3" s="1"/>
    </row>
    <row r="4" spans="1:8" ht="15.75" thickBot="1" x14ac:dyDescent="0.3">
      <c r="A4" s="13" t="s">
        <v>2</v>
      </c>
      <c r="B4" s="12" t="s">
        <v>41</v>
      </c>
      <c r="C4" s="8"/>
      <c r="D4" s="2"/>
      <c r="E4" s="2"/>
      <c r="F4" s="2"/>
      <c r="G4" s="2"/>
      <c r="H4" s="2"/>
    </row>
    <row r="5" spans="1:8" ht="15.75" thickBot="1" x14ac:dyDescent="0.3">
      <c r="A5" s="14" t="s">
        <v>3</v>
      </c>
      <c r="B5" s="14" t="s">
        <v>42</v>
      </c>
      <c r="C5" s="7"/>
      <c r="D5" s="1"/>
      <c r="E5" s="1"/>
      <c r="F5" s="1"/>
      <c r="G5" s="1"/>
      <c r="H5" s="1"/>
    </row>
    <row r="6" spans="1:8" ht="15.75" thickBot="1" x14ac:dyDescent="0.3">
      <c r="A6" s="13" t="s">
        <v>6</v>
      </c>
      <c r="B6" s="13" t="s">
        <v>7</v>
      </c>
      <c r="C6" s="8"/>
      <c r="D6" s="2"/>
      <c r="E6" s="2"/>
      <c r="F6" s="2"/>
      <c r="G6" s="2"/>
      <c r="H6" s="2"/>
    </row>
    <row r="7" spans="1:8" ht="15.75" thickBot="1" x14ac:dyDescent="0.3">
      <c r="A7" s="14" t="s">
        <v>8</v>
      </c>
      <c r="B7" s="14" t="s">
        <v>9</v>
      </c>
      <c r="C7" s="7"/>
      <c r="D7" s="1"/>
      <c r="E7" s="1"/>
      <c r="F7" s="1"/>
      <c r="G7" s="1"/>
      <c r="H7" s="1"/>
    </row>
    <row r="8" spans="1:8" ht="15.75" thickBot="1" x14ac:dyDescent="0.3">
      <c r="A8" s="13" t="s">
        <v>10</v>
      </c>
      <c r="B8" s="13" t="s">
        <v>11</v>
      </c>
      <c r="C8" s="8"/>
      <c r="D8" s="2"/>
      <c r="E8" s="2"/>
      <c r="F8" s="2"/>
      <c r="G8" s="2"/>
      <c r="H8" s="2"/>
    </row>
    <row r="9" spans="1:8" ht="15.75" thickBot="1" x14ac:dyDescent="0.3">
      <c r="A9" s="14" t="s">
        <v>12</v>
      </c>
      <c r="B9" s="14" t="s">
        <v>13</v>
      </c>
      <c r="C9" s="7"/>
      <c r="D9" s="1"/>
      <c r="E9" s="1"/>
      <c r="F9" s="1"/>
      <c r="G9" s="1"/>
      <c r="H9" s="1"/>
    </row>
    <row r="10" spans="1:8" ht="15.75" thickBot="1" x14ac:dyDescent="0.3">
      <c r="A10" s="13" t="s">
        <v>14</v>
      </c>
      <c r="B10" s="13" t="s">
        <v>7</v>
      </c>
      <c r="C10" s="8"/>
      <c r="D10" s="2"/>
      <c r="E10" s="2"/>
      <c r="F10" s="2"/>
      <c r="G10" s="2"/>
      <c r="H10" s="2"/>
    </row>
    <row r="11" spans="1:8" ht="15.75" thickBot="1" x14ac:dyDescent="0.3">
      <c r="A11" s="14" t="s">
        <v>15</v>
      </c>
      <c r="B11" s="14" t="s">
        <v>16</v>
      </c>
      <c r="C11" s="7"/>
      <c r="D11" s="1"/>
      <c r="E11" s="1"/>
      <c r="F11" s="1"/>
      <c r="G11" s="1"/>
      <c r="H11" s="1"/>
    </row>
    <row r="12" spans="1:8" ht="15.75" thickBot="1" x14ac:dyDescent="0.3">
      <c r="A12" s="13" t="s">
        <v>17</v>
      </c>
      <c r="B12" s="13" t="s">
        <v>18</v>
      </c>
      <c r="C12" s="8"/>
      <c r="D12" s="2"/>
      <c r="E12" s="2"/>
      <c r="F12" s="2"/>
      <c r="G12" s="2"/>
      <c r="H12" s="2"/>
    </row>
    <row r="13" spans="1:8" ht="15.75" thickBot="1" x14ac:dyDescent="0.3">
      <c r="A13" s="14" t="s">
        <v>19</v>
      </c>
      <c r="B13" s="14" t="s">
        <v>20</v>
      </c>
      <c r="C13" s="7"/>
      <c r="D13" s="1"/>
      <c r="E13" s="1"/>
      <c r="F13" s="1"/>
      <c r="G13" s="1"/>
      <c r="H13" s="1"/>
    </row>
    <row r="14" spans="1:8" ht="15.75" thickBot="1" x14ac:dyDescent="0.3">
      <c r="A14" s="13" t="s">
        <v>21</v>
      </c>
      <c r="B14" s="13" t="s">
        <v>22</v>
      </c>
      <c r="C14" s="8"/>
      <c r="D14" s="2"/>
      <c r="E14" s="2"/>
      <c r="F14" s="2"/>
      <c r="G14" s="2"/>
      <c r="H14" s="2"/>
    </row>
    <row r="15" spans="1:8" ht="15.75" thickBot="1" x14ac:dyDescent="0.3">
      <c r="A15" s="14" t="s">
        <v>23</v>
      </c>
      <c r="B15" s="14" t="s">
        <v>24</v>
      </c>
      <c r="C15" s="7"/>
      <c r="D15" s="1"/>
      <c r="E15" s="1"/>
      <c r="F15" s="1"/>
      <c r="G15" s="1"/>
      <c r="H15" s="1"/>
    </row>
    <row r="16" spans="1:8" ht="15.75" thickBot="1" x14ac:dyDescent="0.3">
      <c r="A16" s="13" t="s">
        <v>25</v>
      </c>
      <c r="B16" s="13" t="s">
        <v>26</v>
      </c>
      <c r="C16" s="8"/>
      <c r="D16" s="2"/>
      <c r="E16" s="2"/>
      <c r="F16" s="2"/>
      <c r="G16" s="2"/>
      <c r="H16" s="2"/>
    </row>
    <row r="17" spans="1:8" ht="15.75" thickBot="1" x14ac:dyDescent="0.3">
      <c r="A17" s="14" t="s">
        <v>27</v>
      </c>
      <c r="B17" s="14" t="s">
        <v>28</v>
      </c>
      <c r="C17" s="7"/>
      <c r="D17" s="1"/>
      <c r="E17" s="1"/>
      <c r="F17" s="1"/>
      <c r="G17" s="1"/>
      <c r="H17" s="1"/>
    </row>
    <row r="18" spans="1:8" ht="15.75" thickBot="1" x14ac:dyDescent="0.3">
      <c r="A18" s="13" t="s">
        <v>29</v>
      </c>
      <c r="B18" s="13" t="s">
        <v>30</v>
      </c>
      <c r="C18" s="8"/>
      <c r="D18" s="2"/>
      <c r="E18" s="2"/>
      <c r="F18" s="2"/>
      <c r="G18" s="2"/>
      <c r="H18" s="2"/>
    </row>
    <row r="19" spans="1:8" ht="15.75" thickBot="1" x14ac:dyDescent="0.3">
      <c r="A19" s="14" t="s">
        <v>31</v>
      </c>
      <c r="B19" s="14" t="s">
        <v>32</v>
      </c>
      <c r="C19" s="7"/>
      <c r="D19" s="1"/>
      <c r="E19" s="1"/>
      <c r="F19" s="1"/>
      <c r="G19" s="1"/>
      <c r="H19" s="1"/>
    </row>
    <row r="20" spans="1:8" ht="15.75" thickBot="1" x14ac:dyDescent="0.3">
      <c r="A20" s="13" t="s">
        <v>33</v>
      </c>
      <c r="B20" s="13" t="s">
        <v>34</v>
      </c>
      <c r="C20" s="8"/>
      <c r="D20" s="2"/>
      <c r="E20" s="2"/>
      <c r="F20" s="2"/>
      <c r="G20" s="2"/>
      <c r="H20" s="2"/>
    </row>
    <row r="21" spans="1:8" ht="15.75" thickBot="1" x14ac:dyDescent="0.3">
      <c r="A21" s="14" t="s">
        <v>35</v>
      </c>
      <c r="B21" s="14" t="s">
        <v>36</v>
      </c>
      <c r="C21" s="7"/>
      <c r="D21" s="1"/>
      <c r="E21" s="1"/>
      <c r="F21" s="1"/>
      <c r="G21" s="1"/>
      <c r="H21" s="1"/>
    </row>
    <row r="22" spans="1:8" ht="15.75" thickBot="1" x14ac:dyDescent="0.3">
      <c r="A22" s="13" t="s">
        <v>37</v>
      </c>
      <c r="B22" s="13" t="s">
        <v>0</v>
      </c>
      <c r="C22" s="8"/>
      <c r="D22" s="2"/>
      <c r="E22" s="2"/>
      <c r="F22" s="2"/>
      <c r="G22" s="2"/>
      <c r="H22" s="2"/>
    </row>
    <row r="23" spans="1:8" ht="15.75" thickBot="1" x14ac:dyDescent="0.3">
      <c r="A23" s="14" t="s">
        <v>38</v>
      </c>
      <c r="B23" s="14" t="s">
        <v>1</v>
      </c>
      <c r="C23" s="7"/>
      <c r="D23" s="1"/>
      <c r="E23" s="1"/>
      <c r="F23" s="1"/>
      <c r="G23" s="1"/>
      <c r="H23" s="1"/>
    </row>
    <row r="24" spans="1:8" ht="15.75" thickBot="1" x14ac:dyDescent="0.3">
      <c r="A24" s="9"/>
      <c r="B24" s="9"/>
      <c r="C24" s="2"/>
      <c r="D24" s="2"/>
      <c r="E24" s="2"/>
      <c r="F24" s="2"/>
      <c r="G24" s="2"/>
      <c r="H24" s="2"/>
    </row>
    <row r="25" spans="1:8" ht="15.75" thickBot="1" x14ac:dyDescent="0.3">
      <c r="A25" s="1"/>
      <c r="B25" s="1"/>
      <c r="C25" s="1"/>
      <c r="D25" s="1"/>
      <c r="E25" s="1"/>
      <c r="F25" s="1"/>
      <c r="G25" s="1"/>
      <c r="H25" s="1"/>
    </row>
    <row r="26" spans="1:8" ht="15.75" thickBot="1" x14ac:dyDescent="0.3">
      <c r="A26" s="2"/>
      <c r="B26" s="2"/>
      <c r="C26" s="2"/>
      <c r="D26" s="2"/>
      <c r="E26" s="2"/>
      <c r="F26" s="2"/>
      <c r="G26" s="2"/>
      <c r="H26" s="2"/>
    </row>
    <row r="27" spans="1:8" ht="15.75" thickBot="1" x14ac:dyDescent="0.3">
      <c r="A27" s="1"/>
      <c r="B27" s="1"/>
      <c r="C27" s="1"/>
      <c r="D27" s="1"/>
      <c r="E27" s="1"/>
      <c r="F27" s="1"/>
      <c r="G27" s="1"/>
      <c r="H27" s="1"/>
    </row>
    <row r="28" spans="1:8" ht="15.75" thickBot="1" x14ac:dyDescent="0.3">
      <c r="A28" s="2"/>
      <c r="B28" s="2"/>
      <c r="C28" s="2"/>
      <c r="D28" s="2"/>
      <c r="E28" s="2"/>
      <c r="F28" s="2"/>
      <c r="G28" s="2"/>
      <c r="H28" s="2"/>
    </row>
    <row r="29" spans="1:8" ht="15.75" thickBot="1" x14ac:dyDescent="0.3">
      <c r="A29" s="1"/>
      <c r="B29" s="1"/>
      <c r="C29" s="1"/>
      <c r="D29" s="1"/>
      <c r="E29" s="1"/>
      <c r="F29" s="1"/>
      <c r="G29" s="1"/>
      <c r="H29" s="1"/>
    </row>
    <row r="30" spans="1:8" ht="15.75" thickBot="1" x14ac:dyDescent="0.3">
      <c r="A30" s="2"/>
      <c r="B30" s="2"/>
      <c r="C30" s="2"/>
      <c r="D30" s="2"/>
      <c r="E30" s="2"/>
      <c r="F30" s="2"/>
      <c r="G30" s="2"/>
      <c r="H30" s="2"/>
    </row>
    <row r="31" spans="1:8" ht="15.75" thickBot="1" x14ac:dyDescent="0.3">
      <c r="A31" s="1"/>
      <c r="B31" s="1"/>
      <c r="C31" s="1"/>
      <c r="D31" s="1"/>
      <c r="E31" s="1"/>
      <c r="F31" s="1"/>
      <c r="G31" s="1"/>
      <c r="H31" s="1"/>
    </row>
    <row r="32" spans="1:8" ht="15.75" thickBot="1" x14ac:dyDescent="0.3">
      <c r="A32" s="2"/>
      <c r="B32" s="2"/>
      <c r="C32" s="2"/>
      <c r="D32" s="2"/>
      <c r="E32" s="2"/>
      <c r="F32" s="2"/>
      <c r="G32" s="2"/>
      <c r="H32" s="2"/>
    </row>
    <row r="33" spans="1:8" ht="15.75" thickBot="1" x14ac:dyDescent="0.3">
      <c r="A33" s="1"/>
      <c r="B33" s="1"/>
      <c r="C33" s="1"/>
      <c r="D33" s="1"/>
      <c r="E33" s="1"/>
      <c r="F33" s="1"/>
      <c r="G33" s="1"/>
      <c r="H33" s="1"/>
    </row>
    <row r="34" spans="1:8" ht="15.75" thickBot="1" x14ac:dyDescent="0.3">
      <c r="A34" s="2"/>
      <c r="B34" s="2"/>
      <c r="C34" s="2"/>
      <c r="D34" s="2"/>
      <c r="E34" s="2"/>
      <c r="F34" s="2"/>
      <c r="G34" s="2"/>
      <c r="H34" s="2"/>
    </row>
    <row r="35" spans="1:8" ht="15.75" thickBot="1" x14ac:dyDescent="0.3">
      <c r="A35" s="1"/>
      <c r="B35" s="1"/>
      <c r="C35" s="1"/>
      <c r="D35" s="1"/>
      <c r="E35" s="1"/>
      <c r="F35" s="1"/>
      <c r="G35" s="1"/>
      <c r="H35" s="1"/>
    </row>
    <row r="36" spans="1:8" ht="15.75" thickBot="1" x14ac:dyDescent="0.3">
      <c r="A36" s="2"/>
      <c r="B36" s="2"/>
      <c r="C36" s="2"/>
      <c r="D36" s="2"/>
      <c r="E36" s="2"/>
      <c r="F36" s="2"/>
      <c r="G36" s="2"/>
      <c r="H36" s="2"/>
    </row>
    <row r="37" spans="1:8" ht="15.75" thickBot="1" x14ac:dyDescent="0.3">
      <c r="A37" s="1"/>
      <c r="B37" s="1"/>
      <c r="C37" s="1"/>
      <c r="D37" s="1"/>
      <c r="E37" s="1"/>
      <c r="F37" s="1"/>
      <c r="G37" s="1"/>
      <c r="H37" s="1"/>
    </row>
    <row r="38" spans="1:8" ht="15.75" thickBot="1" x14ac:dyDescent="0.3">
      <c r="A38" s="2"/>
      <c r="B38" s="2"/>
      <c r="C38" s="2"/>
      <c r="D38" s="2"/>
      <c r="E38" s="2"/>
      <c r="F38" s="2"/>
      <c r="G38" s="2"/>
      <c r="H38" s="2"/>
    </row>
    <row r="39" spans="1:8" ht="15.75" thickBot="1" x14ac:dyDescent="0.3">
      <c r="A39" s="1"/>
      <c r="B39" s="1"/>
      <c r="C39" s="1"/>
      <c r="D39" s="1"/>
      <c r="E39" s="1"/>
      <c r="F39" s="1"/>
      <c r="G39" s="1"/>
      <c r="H39" s="1"/>
    </row>
    <row r="40" spans="1:8" ht="15.75" thickBot="1" x14ac:dyDescent="0.3">
      <c r="A40" s="2"/>
      <c r="B40" s="2"/>
      <c r="C40" s="2"/>
      <c r="D40" s="3"/>
      <c r="E40" s="3"/>
      <c r="F40" s="3"/>
      <c r="G40" s="3"/>
      <c r="H40" s="4"/>
    </row>
  </sheetData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675D-0F4E-4881-B266-18E6D8187451}">
  <dimension ref="A1:H386"/>
  <sheetViews>
    <sheetView workbookViewId="0">
      <selection activeCell="E290" sqref="E290:E307"/>
    </sheetView>
  </sheetViews>
  <sheetFormatPr defaultRowHeight="15" x14ac:dyDescent="0.25"/>
  <cols>
    <col min="4" max="4" width="15.140625" customWidth="1"/>
    <col min="6" max="6" width="15.85546875" customWidth="1"/>
  </cols>
  <sheetData>
    <row r="1" spans="1:7" x14ac:dyDescent="0.25">
      <c r="A1" t="s">
        <v>85</v>
      </c>
    </row>
    <row r="2" spans="1:7" x14ac:dyDescent="0.25">
      <c r="A2" t="b">
        <v>1</v>
      </c>
      <c r="B2">
        <v>255</v>
      </c>
      <c r="C2" t="s">
        <v>86</v>
      </c>
      <c r="D2">
        <v>1</v>
      </c>
      <c r="E2">
        <v>23.09</v>
      </c>
      <c r="G2">
        <v>0</v>
      </c>
    </row>
    <row r="3" spans="1:7" x14ac:dyDescent="0.25">
      <c r="A3" t="b">
        <v>1</v>
      </c>
      <c r="B3">
        <v>255</v>
      </c>
      <c r="C3" t="s">
        <v>87</v>
      </c>
      <c r="D3">
        <v>2</v>
      </c>
      <c r="E3">
        <v>23.52</v>
      </c>
      <c r="G3">
        <v>0</v>
      </c>
    </row>
    <row r="4" spans="1:7" x14ac:dyDescent="0.25">
      <c r="A4" t="b">
        <v>1</v>
      </c>
      <c r="B4">
        <v>255</v>
      </c>
      <c r="C4" t="s">
        <v>88</v>
      </c>
      <c r="D4">
        <v>3</v>
      </c>
      <c r="E4">
        <v>23.18</v>
      </c>
      <c r="G4">
        <v>0</v>
      </c>
    </row>
    <row r="5" spans="1:7" x14ac:dyDescent="0.25">
      <c r="A5" t="b">
        <v>1</v>
      </c>
      <c r="B5">
        <v>255</v>
      </c>
      <c r="C5" t="s">
        <v>89</v>
      </c>
      <c r="D5">
        <v>4</v>
      </c>
      <c r="E5">
        <v>22.81</v>
      </c>
      <c r="G5">
        <v>0</v>
      </c>
    </row>
    <row r="6" spans="1:7" x14ac:dyDescent="0.25">
      <c r="A6" t="b">
        <v>1</v>
      </c>
      <c r="B6">
        <v>255</v>
      </c>
      <c r="C6" t="s">
        <v>90</v>
      </c>
      <c r="D6">
        <v>5</v>
      </c>
      <c r="E6">
        <v>22.92</v>
      </c>
      <c r="G6">
        <v>0</v>
      </c>
    </row>
    <row r="7" spans="1:7" x14ac:dyDescent="0.25">
      <c r="A7" t="b">
        <v>1</v>
      </c>
      <c r="B7">
        <v>255</v>
      </c>
      <c r="C7" t="s">
        <v>91</v>
      </c>
      <c r="D7">
        <v>6</v>
      </c>
      <c r="E7">
        <v>22.88</v>
      </c>
      <c r="G7">
        <v>0</v>
      </c>
    </row>
    <row r="8" spans="1:7" x14ac:dyDescent="0.25">
      <c r="A8" t="b">
        <v>1</v>
      </c>
      <c r="B8">
        <v>255</v>
      </c>
      <c r="C8" t="s">
        <v>92</v>
      </c>
      <c r="D8">
        <v>7</v>
      </c>
      <c r="E8">
        <v>23.12</v>
      </c>
      <c r="G8">
        <v>0</v>
      </c>
    </row>
    <row r="9" spans="1:7" x14ac:dyDescent="0.25">
      <c r="A9" t="b">
        <v>1</v>
      </c>
      <c r="B9">
        <v>255</v>
      </c>
      <c r="C9" t="s">
        <v>93</v>
      </c>
      <c r="D9">
        <v>8</v>
      </c>
      <c r="E9">
        <v>23.61</v>
      </c>
      <c r="G9">
        <v>0</v>
      </c>
    </row>
    <row r="10" spans="1:7" x14ac:dyDescent="0.25">
      <c r="A10" t="b">
        <v>1</v>
      </c>
      <c r="B10">
        <v>255</v>
      </c>
      <c r="C10" t="s">
        <v>94</v>
      </c>
      <c r="D10">
        <v>9</v>
      </c>
      <c r="E10">
        <v>23.74</v>
      </c>
      <c r="G10">
        <v>0</v>
      </c>
    </row>
    <row r="11" spans="1:7" x14ac:dyDescent="0.25">
      <c r="A11" t="b">
        <v>1</v>
      </c>
      <c r="B11">
        <v>255</v>
      </c>
      <c r="C11" t="s">
        <v>95</v>
      </c>
      <c r="D11">
        <v>10</v>
      </c>
      <c r="E11">
        <v>23.36</v>
      </c>
      <c r="G11">
        <v>0</v>
      </c>
    </row>
    <row r="12" spans="1:7" x14ac:dyDescent="0.25">
      <c r="A12" t="b">
        <v>1</v>
      </c>
      <c r="B12">
        <v>255</v>
      </c>
      <c r="C12" t="s">
        <v>96</v>
      </c>
      <c r="D12">
        <v>11</v>
      </c>
      <c r="E12">
        <v>23.87</v>
      </c>
      <c r="G12">
        <v>0</v>
      </c>
    </row>
    <row r="13" spans="1:7" x14ac:dyDescent="0.25">
      <c r="A13" t="b">
        <v>1</v>
      </c>
      <c r="B13">
        <v>255</v>
      </c>
      <c r="C13" t="s">
        <v>97</v>
      </c>
      <c r="D13">
        <v>12</v>
      </c>
      <c r="E13">
        <v>23.87</v>
      </c>
      <c r="G13">
        <v>0</v>
      </c>
    </row>
    <row r="14" spans="1:7" x14ac:dyDescent="0.25">
      <c r="A14" t="b">
        <v>1</v>
      </c>
      <c r="B14">
        <v>255</v>
      </c>
      <c r="C14" t="s">
        <v>98</v>
      </c>
      <c r="D14">
        <v>13</v>
      </c>
      <c r="E14">
        <v>24.21</v>
      </c>
      <c r="G14">
        <v>0</v>
      </c>
    </row>
    <row r="15" spans="1:7" x14ac:dyDescent="0.25">
      <c r="A15" t="b">
        <v>1</v>
      </c>
      <c r="B15">
        <v>255</v>
      </c>
      <c r="C15" t="s">
        <v>99</v>
      </c>
      <c r="D15">
        <v>14</v>
      </c>
      <c r="E15">
        <v>24.31</v>
      </c>
      <c r="G15">
        <v>0</v>
      </c>
    </row>
    <row r="16" spans="1:7" x14ac:dyDescent="0.25">
      <c r="A16" t="b">
        <v>1</v>
      </c>
      <c r="B16">
        <v>255</v>
      </c>
      <c r="C16" t="s">
        <v>100</v>
      </c>
      <c r="D16">
        <v>15</v>
      </c>
      <c r="E16">
        <v>24.05</v>
      </c>
      <c r="G16">
        <v>0</v>
      </c>
    </row>
    <row r="17" spans="1:7" x14ac:dyDescent="0.25">
      <c r="A17" t="b">
        <v>1</v>
      </c>
      <c r="B17">
        <v>255</v>
      </c>
      <c r="C17" t="s">
        <v>101</v>
      </c>
      <c r="D17">
        <v>16</v>
      </c>
      <c r="E17">
        <v>24.6</v>
      </c>
      <c r="G17">
        <v>0</v>
      </c>
    </row>
    <row r="18" spans="1:7" x14ac:dyDescent="0.25">
      <c r="A18" t="b">
        <v>1</v>
      </c>
      <c r="B18">
        <v>255</v>
      </c>
      <c r="C18" t="s">
        <v>102</v>
      </c>
      <c r="D18">
        <v>17</v>
      </c>
      <c r="E18">
        <v>24.97</v>
      </c>
      <c r="G18">
        <v>0</v>
      </c>
    </row>
    <row r="19" spans="1:7" x14ac:dyDescent="0.25">
      <c r="A19" t="b">
        <v>1</v>
      </c>
      <c r="B19">
        <v>255</v>
      </c>
      <c r="C19" t="s">
        <v>103</v>
      </c>
      <c r="D19">
        <v>18</v>
      </c>
      <c r="E19">
        <v>24.91</v>
      </c>
      <c r="G19">
        <v>0</v>
      </c>
    </row>
    <row r="20" spans="1:7" x14ac:dyDescent="0.25">
      <c r="A20" t="b">
        <v>1</v>
      </c>
      <c r="B20">
        <v>65280</v>
      </c>
      <c r="C20" t="s">
        <v>104</v>
      </c>
      <c r="D20">
        <v>19</v>
      </c>
      <c r="G20">
        <v>0</v>
      </c>
    </row>
    <row r="21" spans="1:7" x14ac:dyDescent="0.25">
      <c r="A21" t="b">
        <v>1</v>
      </c>
      <c r="B21">
        <v>65280</v>
      </c>
      <c r="C21" t="s">
        <v>105</v>
      </c>
      <c r="D21">
        <v>20</v>
      </c>
      <c r="G21">
        <v>0</v>
      </c>
    </row>
    <row r="22" spans="1:7" x14ac:dyDescent="0.25">
      <c r="A22" t="b">
        <v>1</v>
      </c>
      <c r="B22">
        <v>65280</v>
      </c>
      <c r="C22" t="s">
        <v>106</v>
      </c>
      <c r="D22">
        <v>21</v>
      </c>
      <c r="G22">
        <v>0</v>
      </c>
    </row>
    <row r="23" spans="1:7" x14ac:dyDescent="0.25">
      <c r="A23" t="b">
        <v>1</v>
      </c>
      <c r="B23">
        <v>65280</v>
      </c>
      <c r="C23" t="s">
        <v>107</v>
      </c>
      <c r="D23">
        <v>22</v>
      </c>
      <c r="G23">
        <v>0</v>
      </c>
    </row>
    <row r="24" spans="1:7" x14ac:dyDescent="0.25">
      <c r="A24" t="b">
        <v>1</v>
      </c>
      <c r="B24">
        <v>65280</v>
      </c>
      <c r="C24" t="s">
        <v>108</v>
      </c>
      <c r="D24">
        <v>23</v>
      </c>
      <c r="G24">
        <v>0</v>
      </c>
    </row>
    <row r="25" spans="1:7" x14ac:dyDescent="0.25">
      <c r="A25" t="b">
        <v>1</v>
      </c>
      <c r="B25">
        <v>65280</v>
      </c>
      <c r="C25" t="s">
        <v>109</v>
      </c>
      <c r="D25">
        <v>24</v>
      </c>
      <c r="G25">
        <v>0</v>
      </c>
    </row>
    <row r="26" spans="1:7" x14ac:dyDescent="0.25">
      <c r="A26" t="b">
        <v>1</v>
      </c>
      <c r="B26">
        <v>255</v>
      </c>
      <c r="C26" t="s">
        <v>110</v>
      </c>
      <c r="D26">
        <v>25</v>
      </c>
      <c r="E26">
        <v>22.21</v>
      </c>
      <c r="G26">
        <v>0</v>
      </c>
    </row>
    <row r="27" spans="1:7" x14ac:dyDescent="0.25">
      <c r="A27" t="b">
        <v>1</v>
      </c>
      <c r="B27">
        <v>255</v>
      </c>
      <c r="C27" t="s">
        <v>111</v>
      </c>
      <c r="D27">
        <v>26</v>
      </c>
      <c r="E27">
        <v>22.13</v>
      </c>
      <c r="G27">
        <v>0</v>
      </c>
    </row>
    <row r="28" spans="1:7" x14ac:dyDescent="0.25">
      <c r="A28" t="b">
        <v>1</v>
      </c>
      <c r="B28">
        <v>255</v>
      </c>
      <c r="C28" t="s">
        <v>112</v>
      </c>
      <c r="D28">
        <v>27</v>
      </c>
      <c r="E28">
        <v>22.37</v>
      </c>
      <c r="G28">
        <v>0</v>
      </c>
    </row>
    <row r="29" spans="1:7" x14ac:dyDescent="0.25">
      <c r="A29" t="b">
        <v>1</v>
      </c>
      <c r="B29">
        <v>255</v>
      </c>
      <c r="C29" t="s">
        <v>113</v>
      </c>
      <c r="D29">
        <v>28</v>
      </c>
      <c r="E29">
        <v>21.77</v>
      </c>
      <c r="G29">
        <v>0</v>
      </c>
    </row>
    <row r="30" spans="1:7" x14ac:dyDescent="0.25">
      <c r="A30" t="b">
        <v>1</v>
      </c>
      <c r="B30">
        <v>255</v>
      </c>
      <c r="C30" t="s">
        <v>114</v>
      </c>
      <c r="D30">
        <v>29</v>
      </c>
      <c r="E30">
        <v>21.8</v>
      </c>
      <c r="G30">
        <v>0</v>
      </c>
    </row>
    <row r="31" spans="1:7" x14ac:dyDescent="0.25">
      <c r="A31" t="b">
        <v>1</v>
      </c>
      <c r="B31">
        <v>255</v>
      </c>
      <c r="C31" t="s">
        <v>115</v>
      </c>
      <c r="D31">
        <v>30</v>
      </c>
      <c r="E31">
        <v>21.81</v>
      </c>
      <c r="G31">
        <v>0</v>
      </c>
    </row>
    <row r="32" spans="1:7" x14ac:dyDescent="0.25">
      <c r="A32" t="b">
        <v>1</v>
      </c>
      <c r="B32">
        <v>255</v>
      </c>
      <c r="C32" t="s">
        <v>116</v>
      </c>
      <c r="D32">
        <v>31</v>
      </c>
      <c r="E32">
        <v>22.33</v>
      </c>
      <c r="G32">
        <v>0</v>
      </c>
    </row>
    <row r="33" spans="1:7" x14ac:dyDescent="0.25">
      <c r="A33" t="b">
        <v>1</v>
      </c>
      <c r="B33">
        <v>255</v>
      </c>
      <c r="C33" t="s">
        <v>117</v>
      </c>
      <c r="D33">
        <v>32</v>
      </c>
      <c r="E33">
        <v>22.46</v>
      </c>
      <c r="G33">
        <v>0</v>
      </c>
    </row>
    <row r="34" spans="1:7" x14ac:dyDescent="0.25">
      <c r="A34" t="b">
        <v>1</v>
      </c>
      <c r="B34">
        <v>255</v>
      </c>
      <c r="C34" t="s">
        <v>118</v>
      </c>
      <c r="D34">
        <v>33</v>
      </c>
      <c r="E34">
        <v>22.5</v>
      </c>
      <c r="G34">
        <v>0</v>
      </c>
    </row>
    <row r="35" spans="1:7" x14ac:dyDescent="0.25">
      <c r="A35" t="b">
        <v>1</v>
      </c>
      <c r="B35">
        <v>255</v>
      </c>
      <c r="C35" t="s">
        <v>119</v>
      </c>
      <c r="D35">
        <v>34</v>
      </c>
      <c r="E35">
        <v>22.29</v>
      </c>
      <c r="G35">
        <v>0</v>
      </c>
    </row>
    <row r="36" spans="1:7" x14ac:dyDescent="0.25">
      <c r="A36" t="b">
        <v>1</v>
      </c>
      <c r="B36">
        <v>255</v>
      </c>
      <c r="C36" t="s">
        <v>120</v>
      </c>
      <c r="D36">
        <v>35</v>
      </c>
      <c r="E36">
        <v>22.47</v>
      </c>
      <c r="G36">
        <v>0</v>
      </c>
    </row>
    <row r="37" spans="1:7" x14ac:dyDescent="0.25">
      <c r="A37" t="b">
        <v>1</v>
      </c>
      <c r="B37">
        <v>255</v>
      </c>
      <c r="C37" t="s">
        <v>121</v>
      </c>
      <c r="D37">
        <v>36</v>
      </c>
      <c r="E37">
        <v>22.52</v>
      </c>
      <c r="G37">
        <v>0</v>
      </c>
    </row>
    <row r="38" spans="1:7" x14ac:dyDescent="0.25">
      <c r="A38" t="b">
        <v>1</v>
      </c>
      <c r="B38">
        <v>255</v>
      </c>
      <c r="C38" t="s">
        <v>122</v>
      </c>
      <c r="D38">
        <v>37</v>
      </c>
      <c r="E38">
        <v>22.68</v>
      </c>
      <c r="G38">
        <v>0</v>
      </c>
    </row>
    <row r="39" spans="1:7" x14ac:dyDescent="0.25">
      <c r="A39" t="b">
        <v>1</v>
      </c>
      <c r="B39">
        <v>255</v>
      </c>
      <c r="C39" t="s">
        <v>123</v>
      </c>
      <c r="D39">
        <v>38</v>
      </c>
      <c r="E39">
        <v>22.8</v>
      </c>
      <c r="G39">
        <v>0</v>
      </c>
    </row>
    <row r="40" spans="1:7" x14ac:dyDescent="0.25">
      <c r="A40" t="b">
        <v>1</v>
      </c>
      <c r="B40">
        <v>255</v>
      </c>
      <c r="C40" t="s">
        <v>124</v>
      </c>
      <c r="D40">
        <v>39</v>
      </c>
      <c r="E40">
        <v>22.78</v>
      </c>
      <c r="G40">
        <v>0</v>
      </c>
    </row>
    <row r="41" spans="1:7" x14ac:dyDescent="0.25">
      <c r="A41" t="b">
        <v>1</v>
      </c>
      <c r="B41">
        <v>255</v>
      </c>
      <c r="C41" t="s">
        <v>125</v>
      </c>
      <c r="D41">
        <v>40</v>
      </c>
      <c r="E41">
        <v>23.23</v>
      </c>
      <c r="G41">
        <v>0</v>
      </c>
    </row>
    <row r="42" spans="1:7" x14ac:dyDescent="0.25">
      <c r="A42" t="b">
        <v>1</v>
      </c>
      <c r="B42">
        <v>255</v>
      </c>
      <c r="C42" t="s">
        <v>126</v>
      </c>
      <c r="D42">
        <v>41</v>
      </c>
      <c r="E42">
        <v>23.26</v>
      </c>
      <c r="G42">
        <v>0</v>
      </c>
    </row>
    <row r="43" spans="1:7" x14ac:dyDescent="0.25">
      <c r="A43" t="b">
        <v>1</v>
      </c>
      <c r="B43">
        <v>255</v>
      </c>
      <c r="C43" t="s">
        <v>127</v>
      </c>
      <c r="D43">
        <v>42</v>
      </c>
      <c r="E43">
        <v>23.33</v>
      </c>
      <c r="G43">
        <v>0</v>
      </c>
    </row>
    <row r="44" spans="1:7" x14ac:dyDescent="0.25">
      <c r="A44" t="b">
        <v>1</v>
      </c>
      <c r="B44">
        <v>65280</v>
      </c>
      <c r="C44" t="s">
        <v>128</v>
      </c>
      <c r="D44">
        <v>43</v>
      </c>
      <c r="G44">
        <v>0</v>
      </c>
    </row>
    <row r="45" spans="1:7" x14ac:dyDescent="0.25">
      <c r="A45" t="b">
        <v>1</v>
      </c>
      <c r="B45">
        <v>65280</v>
      </c>
      <c r="C45" t="s">
        <v>129</v>
      </c>
      <c r="D45">
        <v>44</v>
      </c>
      <c r="G45">
        <v>0</v>
      </c>
    </row>
    <row r="46" spans="1:7" x14ac:dyDescent="0.25">
      <c r="A46" t="b">
        <v>1</v>
      </c>
      <c r="B46">
        <v>65280</v>
      </c>
      <c r="C46" t="s">
        <v>130</v>
      </c>
      <c r="D46">
        <v>45</v>
      </c>
      <c r="G46">
        <v>0</v>
      </c>
    </row>
    <row r="47" spans="1:7" x14ac:dyDescent="0.25">
      <c r="A47" t="b">
        <v>1</v>
      </c>
      <c r="B47">
        <v>65280</v>
      </c>
      <c r="C47" t="s">
        <v>131</v>
      </c>
      <c r="D47">
        <v>46</v>
      </c>
      <c r="G47">
        <v>0</v>
      </c>
    </row>
    <row r="48" spans="1:7" x14ac:dyDescent="0.25">
      <c r="A48" t="b">
        <v>1</v>
      </c>
      <c r="B48">
        <v>65280</v>
      </c>
      <c r="C48" t="s">
        <v>132</v>
      </c>
      <c r="D48">
        <v>47</v>
      </c>
      <c r="G48">
        <v>0</v>
      </c>
    </row>
    <row r="49" spans="1:7" x14ac:dyDescent="0.25">
      <c r="A49" t="b">
        <v>1</v>
      </c>
      <c r="B49">
        <v>65280</v>
      </c>
      <c r="C49" t="s">
        <v>133</v>
      </c>
      <c r="D49">
        <v>48</v>
      </c>
      <c r="G49">
        <v>0</v>
      </c>
    </row>
    <row r="50" spans="1:7" x14ac:dyDescent="0.25">
      <c r="A50" t="b">
        <v>1</v>
      </c>
      <c r="B50">
        <v>255</v>
      </c>
      <c r="C50" t="s">
        <v>134</v>
      </c>
      <c r="D50">
        <v>49</v>
      </c>
      <c r="E50">
        <v>22.22</v>
      </c>
      <c r="G50">
        <v>0</v>
      </c>
    </row>
    <row r="51" spans="1:7" x14ac:dyDescent="0.25">
      <c r="A51" t="b">
        <v>1</v>
      </c>
      <c r="B51">
        <v>255</v>
      </c>
      <c r="C51" t="s">
        <v>135</v>
      </c>
      <c r="D51">
        <v>50</v>
      </c>
      <c r="E51">
        <v>22.17</v>
      </c>
      <c r="G51">
        <v>0</v>
      </c>
    </row>
    <row r="52" spans="1:7" x14ac:dyDescent="0.25">
      <c r="A52" t="b">
        <v>1</v>
      </c>
      <c r="B52">
        <v>255</v>
      </c>
      <c r="C52" t="s">
        <v>136</v>
      </c>
      <c r="D52">
        <v>51</v>
      </c>
      <c r="E52">
        <v>22.14</v>
      </c>
      <c r="G52">
        <v>0</v>
      </c>
    </row>
    <row r="53" spans="1:7" x14ac:dyDescent="0.25">
      <c r="A53" t="b">
        <v>1</v>
      </c>
      <c r="B53">
        <v>255</v>
      </c>
      <c r="C53" t="s">
        <v>137</v>
      </c>
      <c r="D53">
        <v>52</v>
      </c>
      <c r="E53">
        <v>22.14</v>
      </c>
      <c r="G53">
        <v>0</v>
      </c>
    </row>
    <row r="54" spans="1:7" x14ac:dyDescent="0.25">
      <c r="A54" t="b">
        <v>1</v>
      </c>
      <c r="B54">
        <v>255</v>
      </c>
      <c r="C54" t="s">
        <v>138</v>
      </c>
      <c r="D54">
        <v>53</v>
      </c>
      <c r="E54">
        <v>21.95</v>
      </c>
      <c r="G54">
        <v>0</v>
      </c>
    </row>
    <row r="55" spans="1:7" x14ac:dyDescent="0.25">
      <c r="A55" t="b">
        <v>1</v>
      </c>
      <c r="B55">
        <v>255</v>
      </c>
      <c r="C55" t="s">
        <v>139</v>
      </c>
      <c r="D55">
        <v>54</v>
      </c>
      <c r="E55">
        <v>21.95</v>
      </c>
      <c r="G55">
        <v>0</v>
      </c>
    </row>
    <row r="56" spans="1:7" x14ac:dyDescent="0.25">
      <c r="A56" t="b">
        <v>1</v>
      </c>
      <c r="B56">
        <v>255</v>
      </c>
      <c r="C56" t="s">
        <v>140</v>
      </c>
      <c r="D56">
        <v>55</v>
      </c>
      <c r="E56">
        <v>22.51</v>
      </c>
      <c r="G56">
        <v>0</v>
      </c>
    </row>
    <row r="57" spans="1:7" x14ac:dyDescent="0.25">
      <c r="A57" t="b">
        <v>1</v>
      </c>
      <c r="B57">
        <v>255</v>
      </c>
      <c r="C57" t="s">
        <v>141</v>
      </c>
      <c r="D57">
        <v>56</v>
      </c>
      <c r="E57">
        <v>22.47</v>
      </c>
      <c r="G57">
        <v>0</v>
      </c>
    </row>
    <row r="58" spans="1:7" x14ac:dyDescent="0.25">
      <c r="A58" t="b">
        <v>1</v>
      </c>
      <c r="B58">
        <v>255</v>
      </c>
      <c r="C58" t="s">
        <v>142</v>
      </c>
      <c r="D58">
        <v>57</v>
      </c>
      <c r="E58">
        <v>22.58</v>
      </c>
      <c r="G58">
        <v>0</v>
      </c>
    </row>
    <row r="59" spans="1:7" x14ac:dyDescent="0.25">
      <c r="A59" t="b">
        <v>1</v>
      </c>
      <c r="B59">
        <v>255</v>
      </c>
      <c r="C59" t="s">
        <v>143</v>
      </c>
      <c r="D59">
        <v>58</v>
      </c>
      <c r="E59">
        <v>33.799999999999997</v>
      </c>
      <c r="G59">
        <v>0</v>
      </c>
    </row>
    <row r="60" spans="1:7" x14ac:dyDescent="0.25">
      <c r="A60" t="b">
        <v>1</v>
      </c>
      <c r="B60">
        <v>255</v>
      </c>
      <c r="C60" t="s">
        <v>144</v>
      </c>
      <c r="D60">
        <v>59</v>
      </c>
      <c r="E60">
        <v>34.24</v>
      </c>
      <c r="G60">
        <v>0</v>
      </c>
    </row>
    <row r="61" spans="1:7" x14ac:dyDescent="0.25">
      <c r="A61" t="b">
        <v>1</v>
      </c>
      <c r="B61">
        <v>255</v>
      </c>
      <c r="C61" t="s">
        <v>145</v>
      </c>
      <c r="D61">
        <v>60</v>
      </c>
      <c r="E61">
        <v>34.17</v>
      </c>
      <c r="G61">
        <v>0</v>
      </c>
    </row>
    <row r="62" spans="1:7" x14ac:dyDescent="0.25">
      <c r="A62" t="b">
        <v>1</v>
      </c>
      <c r="B62">
        <v>255</v>
      </c>
      <c r="C62" t="s">
        <v>146</v>
      </c>
      <c r="D62">
        <v>61</v>
      </c>
      <c r="E62">
        <v>33.89</v>
      </c>
      <c r="G62">
        <v>0</v>
      </c>
    </row>
    <row r="63" spans="1:7" x14ac:dyDescent="0.25">
      <c r="A63" t="b">
        <v>1</v>
      </c>
      <c r="B63">
        <v>255</v>
      </c>
      <c r="C63" t="s">
        <v>147</v>
      </c>
      <c r="D63">
        <v>62</v>
      </c>
      <c r="E63">
        <v>35</v>
      </c>
      <c r="G63">
        <v>0</v>
      </c>
    </row>
    <row r="64" spans="1:7" x14ac:dyDescent="0.25">
      <c r="A64" t="b">
        <v>1</v>
      </c>
      <c r="B64">
        <v>255</v>
      </c>
      <c r="C64" t="s">
        <v>148</v>
      </c>
      <c r="D64">
        <v>63</v>
      </c>
      <c r="E64">
        <v>33.159999999999997</v>
      </c>
      <c r="G64">
        <v>0</v>
      </c>
    </row>
    <row r="65" spans="1:7" x14ac:dyDescent="0.25">
      <c r="A65" t="b">
        <v>1</v>
      </c>
      <c r="B65">
        <v>255</v>
      </c>
      <c r="C65" t="s">
        <v>149</v>
      </c>
      <c r="D65">
        <v>64</v>
      </c>
      <c r="E65">
        <v>32.81</v>
      </c>
      <c r="G65">
        <v>0</v>
      </c>
    </row>
    <row r="66" spans="1:7" x14ac:dyDescent="0.25">
      <c r="A66" t="b">
        <v>1</v>
      </c>
      <c r="B66">
        <v>255</v>
      </c>
      <c r="C66" t="s">
        <v>150</v>
      </c>
      <c r="D66">
        <v>65</v>
      </c>
      <c r="E66">
        <v>33.840000000000003</v>
      </c>
      <c r="G66">
        <v>0</v>
      </c>
    </row>
    <row r="67" spans="1:7" x14ac:dyDescent="0.25">
      <c r="A67" t="b">
        <v>1</v>
      </c>
      <c r="B67">
        <v>255</v>
      </c>
      <c r="C67" t="s">
        <v>151</v>
      </c>
      <c r="D67">
        <v>66</v>
      </c>
      <c r="E67">
        <v>32.549999999999997</v>
      </c>
      <c r="G67">
        <v>0</v>
      </c>
    </row>
    <row r="68" spans="1:7" x14ac:dyDescent="0.25">
      <c r="A68" t="b">
        <v>1</v>
      </c>
      <c r="B68">
        <v>65280</v>
      </c>
      <c r="C68" t="s">
        <v>152</v>
      </c>
      <c r="D68">
        <v>67</v>
      </c>
      <c r="G68">
        <v>0</v>
      </c>
    </row>
    <row r="69" spans="1:7" x14ac:dyDescent="0.25">
      <c r="A69" t="b">
        <v>1</v>
      </c>
      <c r="B69">
        <v>65280</v>
      </c>
      <c r="C69" t="s">
        <v>153</v>
      </c>
      <c r="D69">
        <v>68</v>
      </c>
      <c r="G69">
        <v>0</v>
      </c>
    </row>
    <row r="70" spans="1:7" x14ac:dyDescent="0.25">
      <c r="A70" t="b">
        <v>1</v>
      </c>
      <c r="B70">
        <v>65280</v>
      </c>
      <c r="C70" t="s">
        <v>154</v>
      </c>
      <c r="D70">
        <v>69</v>
      </c>
      <c r="G70">
        <v>0</v>
      </c>
    </row>
    <row r="71" spans="1:7" x14ac:dyDescent="0.25">
      <c r="A71" t="b">
        <v>1</v>
      </c>
      <c r="B71">
        <v>65280</v>
      </c>
      <c r="C71" t="s">
        <v>155</v>
      </c>
      <c r="D71">
        <v>70</v>
      </c>
      <c r="G71">
        <v>0</v>
      </c>
    </row>
    <row r="72" spans="1:7" x14ac:dyDescent="0.25">
      <c r="A72" t="b">
        <v>1</v>
      </c>
      <c r="B72">
        <v>65280</v>
      </c>
      <c r="C72" t="s">
        <v>156</v>
      </c>
      <c r="D72">
        <v>71</v>
      </c>
      <c r="G72">
        <v>0</v>
      </c>
    </row>
    <row r="73" spans="1:7" x14ac:dyDescent="0.25">
      <c r="A73" t="b">
        <v>1</v>
      </c>
      <c r="B73">
        <v>65280</v>
      </c>
      <c r="C73" t="s">
        <v>157</v>
      </c>
      <c r="D73">
        <v>72</v>
      </c>
      <c r="G73">
        <v>0</v>
      </c>
    </row>
    <row r="74" spans="1:7" x14ac:dyDescent="0.25">
      <c r="A74" t="b">
        <v>1</v>
      </c>
      <c r="B74">
        <v>255</v>
      </c>
      <c r="C74" t="s">
        <v>158</v>
      </c>
      <c r="D74">
        <v>73</v>
      </c>
      <c r="E74">
        <v>33.64</v>
      </c>
      <c r="G74">
        <v>0</v>
      </c>
    </row>
    <row r="75" spans="1:7" x14ac:dyDescent="0.25">
      <c r="A75" t="b">
        <v>1</v>
      </c>
      <c r="B75">
        <v>255</v>
      </c>
      <c r="C75" t="s">
        <v>159</v>
      </c>
      <c r="D75">
        <v>74</v>
      </c>
      <c r="E75">
        <v>32.71</v>
      </c>
      <c r="G75">
        <v>0</v>
      </c>
    </row>
    <row r="76" spans="1:7" x14ac:dyDescent="0.25">
      <c r="A76" t="b">
        <v>1</v>
      </c>
      <c r="B76">
        <v>255</v>
      </c>
      <c r="C76" t="s">
        <v>160</v>
      </c>
      <c r="D76">
        <v>75</v>
      </c>
      <c r="E76">
        <v>33.619999999999997</v>
      </c>
      <c r="G76">
        <v>0</v>
      </c>
    </row>
    <row r="77" spans="1:7" x14ac:dyDescent="0.25">
      <c r="A77" t="b">
        <v>1</v>
      </c>
      <c r="B77">
        <v>255</v>
      </c>
      <c r="C77" t="s">
        <v>161</v>
      </c>
      <c r="D77">
        <v>76</v>
      </c>
      <c r="E77">
        <v>32.6</v>
      </c>
      <c r="G77">
        <v>0</v>
      </c>
    </row>
    <row r="78" spans="1:7" x14ac:dyDescent="0.25">
      <c r="A78" t="b">
        <v>1</v>
      </c>
      <c r="B78">
        <v>255</v>
      </c>
      <c r="C78" t="s">
        <v>162</v>
      </c>
      <c r="D78">
        <v>77</v>
      </c>
      <c r="E78">
        <v>31.85</v>
      </c>
      <c r="G78">
        <v>0</v>
      </c>
    </row>
    <row r="79" spans="1:7" x14ac:dyDescent="0.25">
      <c r="A79" t="b">
        <v>1</v>
      </c>
      <c r="B79">
        <v>255</v>
      </c>
      <c r="C79" t="s">
        <v>163</v>
      </c>
      <c r="D79">
        <v>78</v>
      </c>
      <c r="E79">
        <v>32.74</v>
      </c>
      <c r="G79">
        <v>0</v>
      </c>
    </row>
    <row r="80" spans="1:7" x14ac:dyDescent="0.25">
      <c r="A80" t="b">
        <v>1</v>
      </c>
      <c r="B80">
        <v>255</v>
      </c>
      <c r="C80" t="s">
        <v>164</v>
      </c>
      <c r="D80">
        <v>79</v>
      </c>
      <c r="E80">
        <v>33.729999999999997</v>
      </c>
      <c r="G80">
        <v>0</v>
      </c>
    </row>
    <row r="81" spans="1:7" x14ac:dyDescent="0.25">
      <c r="A81" t="b">
        <v>1</v>
      </c>
      <c r="B81">
        <v>255</v>
      </c>
      <c r="C81" t="s">
        <v>165</v>
      </c>
      <c r="D81">
        <v>80</v>
      </c>
      <c r="E81">
        <v>33.799999999999997</v>
      </c>
      <c r="G81">
        <v>0</v>
      </c>
    </row>
    <row r="82" spans="1:7" x14ac:dyDescent="0.25">
      <c r="A82" t="b">
        <v>1</v>
      </c>
      <c r="B82">
        <v>255</v>
      </c>
      <c r="C82" t="s">
        <v>166</v>
      </c>
      <c r="D82">
        <v>81</v>
      </c>
      <c r="E82">
        <v>34</v>
      </c>
      <c r="G82">
        <v>0</v>
      </c>
    </row>
    <row r="83" spans="1:7" x14ac:dyDescent="0.25">
      <c r="A83" t="b">
        <v>1</v>
      </c>
      <c r="B83">
        <v>255</v>
      </c>
      <c r="C83" t="s">
        <v>167</v>
      </c>
      <c r="D83">
        <v>82</v>
      </c>
      <c r="E83">
        <v>35.17</v>
      </c>
      <c r="G83">
        <v>0</v>
      </c>
    </row>
    <row r="84" spans="1:7" x14ac:dyDescent="0.25">
      <c r="A84" t="b">
        <v>1</v>
      </c>
      <c r="B84">
        <v>255</v>
      </c>
      <c r="C84" t="s">
        <v>168</v>
      </c>
      <c r="D84">
        <v>83</v>
      </c>
      <c r="E84">
        <v>37.11</v>
      </c>
      <c r="G84">
        <v>0</v>
      </c>
    </row>
    <row r="85" spans="1:7" x14ac:dyDescent="0.25">
      <c r="A85" t="b">
        <v>1</v>
      </c>
      <c r="B85">
        <v>255</v>
      </c>
      <c r="C85" t="s">
        <v>169</v>
      </c>
      <c r="D85">
        <v>84</v>
      </c>
      <c r="E85">
        <v>31.96</v>
      </c>
      <c r="G85">
        <v>0</v>
      </c>
    </row>
    <row r="86" spans="1:7" x14ac:dyDescent="0.25">
      <c r="A86" t="b">
        <v>1</v>
      </c>
      <c r="B86">
        <v>255</v>
      </c>
      <c r="C86" t="s">
        <v>170</v>
      </c>
      <c r="D86">
        <v>85</v>
      </c>
      <c r="E86">
        <v>31.55</v>
      </c>
      <c r="G86">
        <v>0</v>
      </c>
    </row>
    <row r="87" spans="1:7" x14ac:dyDescent="0.25">
      <c r="A87" t="b">
        <v>1</v>
      </c>
      <c r="B87">
        <v>255</v>
      </c>
      <c r="C87" t="s">
        <v>171</v>
      </c>
      <c r="D87">
        <v>86</v>
      </c>
      <c r="E87">
        <v>32.24</v>
      </c>
      <c r="G87">
        <v>0</v>
      </c>
    </row>
    <row r="88" spans="1:7" x14ac:dyDescent="0.25">
      <c r="A88" t="b">
        <v>1</v>
      </c>
      <c r="B88">
        <v>255</v>
      </c>
      <c r="C88" t="s">
        <v>172</v>
      </c>
      <c r="D88">
        <v>87</v>
      </c>
      <c r="E88">
        <v>34.11</v>
      </c>
      <c r="G88">
        <v>0</v>
      </c>
    </row>
    <row r="89" spans="1:7" x14ac:dyDescent="0.25">
      <c r="A89" t="b">
        <v>1</v>
      </c>
      <c r="B89">
        <v>255</v>
      </c>
      <c r="C89" t="s">
        <v>173</v>
      </c>
      <c r="D89">
        <v>88</v>
      </c>
      <c r="E89">
        <v>32.99</v>
      </c>
      <c r="G89">
        <v>0</v>
      </c>
    </row>
    <row r="90" spans="1:7" x14ac:dyDescent="0.25">
      <c r="A90" t="b">
        <v>1</v>
      </c>
      <c r="B90">
        <v>255</v>
      </c>
      <c r="C90" t="s">
        <v>174</v>
      </c>
      <c r="D90">
        <v>89</v>
      </c>
      <c r="E90">
        <v>33.69</v>
      </c>
      <c r="G90">
        <v>0</v>
      </c>
    </row>
    <row r="91" spans="1:7" x14ac:dyDescent="0.25">
      <c r="A91" t="b">
        <v>1</v>
      </c>
      <c r="B91">
        <v>255</v>
      </c>
      <c r="C91" t="s">
        <v>175</v>
      </c>
      <c r="D91">
        <v>90</v>
      </c>
      <c r="E91">
        <v>34.299999999999997</v>
      </c>
      <c r="G91">
        <v>0</v>
      </c>
    </row>
    <row r="92" spans="1:7" x14ac:dyDescent="0.25">
      <c r="A92" t="b">
        <v>1</v>
      </c>
      <c r="B92">
        <v>65280</v>
      </c>
      <c r="C92" t="s">
        <v>176</v>
      </c>
      <c r="D92">
        <v>91</v>
      </c>
      <c r="G92">
        <v>0</v>
      </c>
    </row>
    <row r="93" spans="1:7" x14ac:dyDescent="0.25">
      <c r="A93" t="b">
        <v>1</v>
      </c>
      <c r="B93">
        <v>65280</v>
      </c>
      <c r="C93" t="s">
        <v>177</v>
      </c>
      <c r="D93">
        <v>92</v>
      </c>
      <c r="G93">
        <v>0</v>
      </c>
    </row>
    <row r="94" spans="1:7" x14ac:dyDescent="0.25">
      <c r="A94" t="b">
        <v>1</v>
      </c>
      <c r="B94">
        <v>65280</v>
      </c>
      <c r="C94" t="s">
        <v>178</v>
      </c>
      <c r="D94">
        <v>93</v>
      </c>
      <c r="G94">
        <v>0</v>
      </c>
    </row>
    <row r="95" spans="1:7" x14ac:dyDescent="0.25">
      <c r="A95" t="b">
        <v>1</v>
      </c>
      <c r="B95">
        <v>65280</v>
      </c>
      <c r="C95" t="s">
        <v>179</v>
      </c>
      <c r="D95">
        <v>94</v>
      </c>
      <c r="G95">
        <v>0</v>
      </c>
    </row>
    <row r="96" spans="1:7" x14ac:dyDescent="0.25">
      <c r="A96" t="b">
        <v>1</v>
      </c>
      <c r="B96">
        <v>65280</v>
      </c>
      <c r="C96" t="s">
        <v>180</v>
      </c>
      <c r="D96">
        <v>95</v>
      </c>
      <c r="G96">
        <v>0</v>
      </c>
    </row>
    <row r="97" spans="1:7" x14ac:dyDescent="0.25">
      <c r="A97" t="b">
        <v>1</v>
      </c>
      <c r="B97">
        <v>65280</v>
      </c>
      <c r="C97" t="s">
        <v>181</v>
      </c>
      <c r="D97">
        <v>96</v>
      </c>
      <c r="G97">
        <v>0</v>
      </c>
    </row>
    <row r="98" spans="1:7" x14ac:dyDescent="0.25">
      <c r="A98" t="b">
        <v>1</v>
      </c>
      <c r="B98">
        <v>255</v>
      </c>
      <c r="C98" t="s">
        <v>182</v>
      </c>
      <c r="D98">
        <v>97</v>
      </c>
      <c r="E98">
        <v>30.58</v>
      </c>
      <c r="G98">
        <v>0</v>
      </c>
    </row>
    <row r="99" spans="1:7" x14ac:dyDescent="0.25">
      <c r="A99" t="b">
        <v>1</v>
      </c>
      <c r="B99">
        <v>255</v>
      </c>
      <c r="C99" t="s">
        <v>183</v>
      </c>
      <c r="D99">
        <v>98</v>
      </c>
      <c r="E99">
        <v>31.67</v>
      </c>
      <c r="G99">
        <v>0</v>
      </c>
    </row>
    <row r="100" spans="1:7" x14ac:dyDescent="0.25">
      <c r="A100" t="b">
        <v>1</v>
      </c>
      <c r="B100">
        <v>255</v>
      </c>
      <c r="C100" t="s">
        <v>184</v>
      </c>
      <c r="D100">
        <v>99</v>
      </c>
      <c r="E100">
        <v>30.95</v>
      </c>
      <c r="G100">
        <v>0</v>
      </c>
    </row>
    <row r="101" spans="1:7" x14ac:dyDescent="0.25">
      <c r="A101" t="b">
        <v>1</v>
      </c>
      <c r="B101">
        <v>255</v>
      </c>
      <c r="C101" t="s">
        <v>185</v>
      </c>
      <c r="D101">
        <v>100</v>
      </c>
      <c r="E101">
        <v>29.89</v>
      </c>
      <c r="G101">
        <v>0</v>
      </c>
    </row>
    <row r="102" spans="1:7" x14ac:dyDescent="0.25">
      <c r="A102" t="b">
        <v>1</v>
      </c>
      <c r="B102">
        <v>255</v>
      </c>
      <c r="C102" t="s">
        <v>186</v>
      </c>
      <c r="D102">
        <v>101</v>
      </c>
      <c r="E102">
        <v>29.89</v>
      </c>
      <c r="G102">
        <v>0</v>
      </c>
    </row>
    <row r="103" spans="1:7" x14ac:dyDescent="0.25">
      <c r="A103" t="b">
        <v>1</v>
      </c>
      <c r="B103">
        <v>255</v>
      </c>
      <c r="C103" t="s">
        <v>187</v>
      </c>
      <c r="D103">
        <v>102</v>
      </c>
      <c r="E103">
        <v>29.96</v>
      </c>
      <c r="G103">
        <v>0</v>
      </c>
    </row>
    <row r="104" spans="1:7" x14ac:dyDescent="0.25">
      <c r="A104" t="b">
        <v>1</v>
      </c>
      <c r="B104">
        <v>255</v>
      </c>
      <c r="C104" t="s">
        <v>188</v>
      </c>
      <c r="D104">
        <v>103</v>
      </c>
      <c r="E104">
        <v>29.82</v>
      </c>
      <c r="G104">
        <v>0</v>
      </c>
    </row>
    <row r="105" spans="1:7" x14ac:dyDescent="0.25">
      <c r="A105" t="b">
        <v>1</v>
      </c>
      <c r="B105">
        <v>255</v>
      </c>
      <c r="C105" t="s">
        <v>189</v>
      </c>
      <c r="D105">
        <v>104</v>
      </c>
      <c r="E105">
        <v>29.94</v>
      </c>
      <c r="G105">
        <v>0</v>
      </c>
    </row>
    <row r="106" spans="1:7" x14ac:dyDescent="0.25">
      <c r="A106" t="b">
        <v>1</v>
      </c>
      <c r="B106">
        <v>255</v>
      </c>
      <c r="C106" t="s">
        <v>190</v>
      </c>
      <c r="D106">
        <v>105</v>
      </c>
      <c r="E106">
        <v>29.74</v>
      </c>
      <c r="G106">
        <v>0</v>
      </c>
    </row>
    <row r="107" spans="1:7" x14ac:dyDescent="0.25">
      <c r="A107" t="b">
        <v>1</v>
      </c>
      <c r="B107">
        <v>255</v>
      </c>
      <c r="C107" t="s">
        <v>191</v>
      </c>
      <c r="D107">
        <v>106</v>
      </c>
      <c r="E107">
        <v>33</v>
      </c>
      <c r="G107">
        <v>0</v>
      </c>
    </row>
    <row r="108" spans="1:7" x14ac:dyDescent="0.25">
      <c r="A108" t="b">
        <v>1</v>
      </c>
      <c r="B108">
        <v>255</v>
      </c>
      <c r="C108" t="s">
        <v>192</v>
      </c>
      <c r="D108">
        <v>107</v>
      </c>
      <c r="E108">
        <v>32.71</v>
      </c>
      <c r="G108">
        <v>0</v>
      </c>
    </row>
    <row r="109" spans="1:7" x14ac:dyDescent="0.25">
      <c r="A109" t="b">
        <v>1</v>
      </c>
      <c r="B109">
        <v>255</v>
      </c>
      <c r="C109" t="s">
        <v>193</v>
      </c>
      <c r="D109">
        <v>108</v>
      </c>
      <c r="E109">
        <v>32.78</v>
      </c>
      <c r="G109">
        <v>0</v>
      </c>
    </row>
    <row r="110" spans="1:7" x14ac:dyDescent="0.25">
      <c r="A110" t="b">
        <v>1</v>
      </c>
      <c r="B110">
        <v>255</v>
      </c>
      <c r="C110" t="s">
        <v>194</v>
      </c>
      <c r="D110">
        <v>109</v>
      </c>
      <c r="E110">
        <v>33.89</v>
      </c>
      <c r="G110">
        <v>0</v>
      </c>
    </row>
    <row r="111" spans="1:7" x14ac:dyDescent="0.25">
      <c r="A111" t="b">
        <v>1</v>
      </c>
      <c r="B111">
        <v>255</v>
      </c>
      <c r="C111" t="s">
        <v>195</v>
      </c>
      <c r="D111">
        <v>110</v>
      </c>
      <c r="E111">
        <v>35.11</v>
      </c>
      <c r="G111">
        <v>0</v>
      </c>
    </row>
    <row r="112" spans="1:7" x14ac:dyDescent="0.25">
      <c r="A112" t="b">
        <v>1</v>
      </c>
      <c r="B112">
        <v>255</v>
      </c>
      <c r="C112" t="s">
        <v>196</v>
      </c>
      <c r="D112">
        <v>111</v>
      </c>
      <c r="E112">
        <v>37.89</v>
      </c>
      <c r="G112">
        <v>0</v>
      </c>
    </row>
    <row r="113" spans="1:7" x14ac:dyDescent="0.25">
      <c r="A113" t="b">
        <v>1</v>
      </c>
      <c r="B113">
        <v>255</v>
      </c>
      <c r="C113" t="s">
        <v>197</v>
      </c>
      <c r="D113">
        <v>112</v>
      </c>
      <c r="E113">
        <v>33.18</v>
      </c>
      <c r="G113">
        <v>0</v>
      </c>
    </row>
    <row r="114" spans="1:7" x14ac:dyDescent="0.25">
      <c r="A114" t="b">
        <v>1</v>
      </c>
      <c r="B114">
        <v>255</v>
      </c>
      <c r="C114" t="s">
        <v>198</v>
      </c>
      <c r="D114">
        <v>113</v>
      </c>
      <c r="E114">
        <v>34.14</v>
      </c>
      <c r="G114">
        <v>0</v>
      </c>
    </row>
    <row r="115" spans="1:7" x14ac:dyDescent="0.25">
      <c r="A115" t="b">
        <v>1</v>
      </c>
      <c r="B115">
        <v>255</v>
      </c>
      <c r="C115" t="s">
        <v>199</v>
      </c>
      <c r="D115">
        <v>114</v>
      </c>
      <c r="E115">
        <v>34.81</v>
      </c>
      <c r="G115">
        <v>0</v>
      </c>
    </row>
    <row r="116" spans="1:7" x14ac:dyDescent="0.25">
      <c r="A116" t="b">
        <v>1</v>
      </c>
      <c r="B116">
        <v>65280</v>
      </c>
      <c r="C116" t="s">
        <v>200</v>
      </c>
      <c r="D116">
        <v>115</v>
      </c>
      <c r="G116">
        <v>0</v>
      </c>
    </row>
    <row r="117" spans="1:7" x14ac:dyDescent="0.25">
      <c r="A117" t="b">
        <v>1</v>
      </c>
      <c r="B117">
        <v>65280</v>
      </c>
      <c r="C117" t="s">
        <v>201</v>
      </c>
      <c r="D117">
        <v>116</v>
      </c>
      <c r="G117">
        <v>0</v>
      </c>
    </row>
    <row r="118" spans="1:7" x14ac:dyDescent="0.25">
      <c r="A118" t="b">
        <v>1</v>
      </c>
      <c r="B118">
        <v>65280</v>
      </c>
      <c r="C118" t="s">
        <v>202</v>
      </c>
      <c r="D118">
        <v>117</v>
      </c>
      <c r="G118">
        <v>0</v>
      </c>
    </row>
    <row r="119" spans="1:7" x14ac:dyDescent="0.25">
      <c r="A119" t="b">
        <v>1</v>
      </c>
      <c r="B119">
        <v>65280</v>
      </c>
      <c r="C119" t="s">
        <v>203</v>
      </c>
      <c r="D119">
        <v>118</v>
      </c>
      <c r="G119">
        <v>0</v>
      </c>
    </row>
    <row r="120" spans="1:7" x14ac:dyDescent="0.25">
      <c r="A120" t="b">
        <v>1</v>
      </c>
      <c r="B120">
        <v>65280</v>
      </c>
      <c r="C120" t="s">
        <v>204</v>
      </c>
      <c r="D120">
        <v>119</v>
      </c>
      <c r="G120">
        <v>0</v>
      </c>
    </row>
    <row r="121" spans="1:7" x14ac:dyDescent="0.25">
      <c r="A121" t="b">
        <v>1</v>
      </c>
      <c r="B121">
        <v>65280</v>
      </c>
      <c r="C121" t="s">
        <v>205</v>
      </c>
      <c r="D121">
        <v>120</v>
      </c>
      <c r="G121">
        <v>0</v>
      </c>
    </row>
    <row r="122" spans="1:7" x14ac:dyDescent="0.25">
      <c r="A122" t="b">
        <v>1</v>
      </c>
      <c r="B122">
        <v>255</v>
      </c>
      <c r="C122" t="s">
        <v>206</v>
      </c>
      <c r="D122">
        <v>121</v>
      </c>
      <c r="E122">
        <v>26.71</v>
      </c>
      <c r="G122">
        <v>0</v>
      </c>
    </row>
    <row r="123" spans="1:7" x14ac:dyDescent="0.25">
      <c r="A123" t="b">
        <v>1</v>
      </c>
      <c r="B123">
        <v>255</v>
      </c>
      <c r="C123" t="s">
        <v>207</v>
      </c>
      <c r="D123">
        <v>122</v>
      </c>
      <c r="E123">
        <v>26.93</v>
      </c>
      <c r="G123">
        <v>0</v>
      </c>
    </row>
    <row r="124" spans="1:7" x14ac:dyDescent="0.25">
      <c r="A124" t="b">
        <v>1</v>
      </c>
      <c r="B124">
        <v>255</v>
      </c>
      <c r="C124" t="s">
        <v>208</v>
      </c>
      <c r="D124">
        <v>123</v>
      </c>
      <c r="E124">
        <v>26.94</v>
      </c>
      <c r="G124">
        <v>0</v>
      </c>
    </row>
    <row r="125" spans="1:7" x14ac:dyDescent="0.25">
      <c r="A125" t="b">
        <v>1</v>
      </c>
      <c r="B125">
        <v>255</v>
      </c>
      <c r="C125" t="s">
        <v>209</v>
      </c>
      <c r="D125">
        <v>124</v>
      </c>
      <c r="E125">
        <v>26.26</v>
      </c>
      <c r="G125">
        <v>0</v>
      </c>
    </row>
    <row r="126" spans="1:7" x14ac:dyDescent="0.25">
      <c r="A126" t="b">
        <v>1</v>
      </c>
      <c r="B126">
        <v>255</v>
      </c>
      <c r="C126" t="s">
        <v>210</v>
      </c>
      <c r="D126">
        <v>125</v>
      </c>
      <c r="E126">
        <v>25.88</v>
      </c>
      <c r="G126">
        <v>0</v>
      </c>
    </row>
    <row r="127" spans="1:7" x14ac:dyDescent="0.25">
      <c r="A127" t="b">
        <v>1</v>
      </c>
      <c r="B127">
        <v>255</v>
      </c>
      <c r="C127" t="s">
        <v>211</v>
      </c>
      <c r="D127">
        <v>126</v>
      </c>
      <c r="E127">
        <v>26.43</v>
      </c>
      <c r="G127">
        <v>0</v>
      </c>
    </row>
    <row r="128" spans="1:7" x14ac:dyDescent="0.25">
      <c r="A128" t="b">
        <v>1</v>
      </c>
      <c r="B128">
        <v>255</v>
      </c>
      <c r="C128" t="s">
        <v>212</v>
      </c>
      <c r="D128">
        <v>127</v>
      </c>
      <c r="E128">
        <v>25.67</v>
      </c>
      <c r="G128">
        <v>0</v>
      </c>
    </row>
    <row r="129" spans="1:7" x14ac:dyDescent="0.25">
      <c r="A129" t="b">
        <v>1</v>
      </c>
      <c r="B129">
        <v>255</v>
      </c>
      <c r="C129" t="s">
        <v>213</v>
      </c>
      <c r="D129">
        <v>128</v>
      </c>
      <c r="E129">
        <v>25.64</v>
      </c>
      <c r="G129">
        <v>0</v>
      </c>
    </row>
    <row r="130" spans="1:7" x14ac:dyDescent="0.25">
      <c r="A130" t="b">
        <v>1</v>
      </c>
      <c r="B130">
        <v>255</v>
      </c>
      <c r="C130" t="s">
        <v>214</v>
      </c>
      <c r="D130">
        <v>129</v>
      </c>
      <c r="E130">
        <v>25.89</v>
      </c>
      <c r="G130">
        <v>0</v>
      </c>
    </row>
    <row r="131" spans="1:7" x14ac:dyDescent="0.25">
      <c r="A131" t="b">
        <v>1</v>
      </c>
      <c r="B131">
        <v>255</v>
      </c>
      <c r="C131" t="s">
        <v>215</v>
      </c>
      <c r="D131">
        <v>130</v>
      </c>
      <c r="E131">
        <v>29.31</v>
      </c>
      <c r="G131">
        <v>0</v>
      </c>
    </row>
    <row r="132" spans="1:7" x14ac:dyDescent="0.25">
      <c r="A132" t="b">
        <v>1</v>
      </c>
      <c r="B132">
        <v>255</v>
      </c>
      <c r="C132" t="s">
        <v>216</v>
      </c>
      <c r="D132">
        <v>131</v>
      </c>
      <c r="E132">
        <v>29.48</v>
      </c>
      <c r="G132">
        <v>0</v>
      </c>
    </row>
    <row r="133" spans="1:7" x14ac:dyDescent="0.25">
      <c r="A133" t="b">
        <v>1</v>
      </c>
      <c r="B133">
        <v>255</v>
      </c>
      <c r="C133" t="s">
        <v>217</v>
      </c>
      <c r="D133">
        <v>132</v>
      </c>
      <c r="E133">
        <v>29.42</v>
      </c>
      <c r="G133">
        <v>0</v>
      </c>
    </row>
    <row r="134" spans="1:7" x14ac:dyDescent="0.25">
      <c r="A134" t="b">
        <v>1</v>
      </c>
      <c r="B134">
        <v>255</v>
      </c>
      <c r="C134" t="s">
        <v>218</v>
      </c>
      <c r="D134">
        <v>133</v>
      </c>
      <c r="E134">
        <v>29.54</v>
      </c>
      <c r="G134">
        <v>0</v>
      </c>
    </row>
    <row r="135" spans="1:7" x14ac:dyDescent="0.25">
      <c r="A135" t="b">
        <v>1</v>
      </c>
      <c r="B135">
        <v>255</v>
      </c>
      <c r="C135" t="s">
        <v>219</v>
      </c>
      <c r="D135">
        <v>134</v>
      </c>
      <c r="E135">
        <v>29.64</v>
      </c>
      <c r="G135">
        <v>0</v>
      </c>
    </row>
    <row r="136" spans="1:7" x14ac:dyDescent="0.25">
      <c r="A136" t="b">
        <v>1</v>
      </c>
      <c r="B136">
        <v>255</v>
      </c>
      <c r="C136" t="s">
        <v>220</v>
      </c>
      <c r="D136">
        <v>135</v>
      </c>
      <c r="E136">
        <v>29.06</v>
      </c>
      <c r="G136">
        <v>0</v>
      </c>
    </row>
    <row r="137" spans="1:7" x14ac:dyDescent="0.25">
      <c r="A137" t="b">
        <v>1</v>
      </c>
      <c r="B137">
        <v>255</v>
      </c>
      <c r="C137" t="s">
        <v>221</v>
      </c>
      <c r="D137">
        <v>136</v>
      </c>
      <c r="E137">
        <v>30.68</v>
      </c>
      <c r="G137">
        <v>0</v>
      </c>
    </row>
    <row r="138" spans="1:7" x14ac:dyDescent="0.25">
      <c r="A138" t="b">
        <v>1</v>
      </c>
      <c r="B138">
        <v>255</v>
      </c>
      <c r="C138" t="s">
        <v>222</v>
      </c>
      <c r="D138">
        <v>137</v>
      </c>
      <c r="E138">
        <v>30.19</v>
      </c>
      <c r="G138">
        <v>0</v>
      </c>
    </row>
    <row r="139" spans="1:7" x14ac:dyDescent="0.25">
      <c r="A139" t="b">
        <v>1</v>
      </c>
      <c r="B139">
        <v>255</v>
      </c>
      <c r="C139" t="s">
        <v>223</v>
      </c>
      <c r="D139">
        <v>138</v>
      </c>
      <c r="E139">
        <v>30.5</v>
      </c>
      <c r="G139">
        <v>0</v>
      </c>
    </row>
    <row r="140" spans="1:7" x14ac:dyDescent="0.25">
      <c r="A140" t="b">
        <v>1</v>
      </c>
      <c r="B140">
        <v>65280</v>
      </c>
      <c r="C140" t="s">
        <v>224</v>
      </c>
      <c r="D140">
        <v>139</v>
      </c>
      <c r="G140">
        <v>0</v>
      </c>
    </row>
    <row r="141" spans="1:7" x14ac:dyDescent="0.25">
      <c r="A141" t="b">
        <v>1</v>
      </c>
      <c r="B141">
        <v>65280</v>
      </c>
      <c r="C141" t="s">
        <v>225</v>
      </c>
      <c r="D141">
        <v>140</v>
      </c>
      <c r="G141">
        <v>0</v>
      </c>
    </row>
    <row r="142" spans="1:7" x14ac:dyDescent="0.25">
      <c r="A142" t="b">
        <v>1</v>
      </c>
      <c r="B142">
        <v>65280</v>
      </c>
      <c r="C142" t="s">
        <v>226</v>
      </c>
      <c r="D142">
        <v>141</v>
      </c>
      <c r="G142">
        <v>0</v>
      </c>
    </row>
    <row r="143" spans="1:7" x14ac:dyDescent="0.25">
      <c r="A143" t="b">
        <v>1</v>
      </c>
      <c r="B143">
        <v>65280</v>
      </c>
      <c r="C143" t="s">
        <v>227</v>
      </c>
      <c r="D143">
        <v>142</v>
      </c>
      <c r="G143">
        <v>0</v>
      </c>
    </row>
    <row r="144" spans="1:7" x14ac:dyDescent="0.25">
      <c r="A144" t="b">
        <v>1</v>
      </c>
      <c r="B144">
        <v>65280</v>
      </c>
      <c r="C144" t="s">
        <v>228</v>
      </c>
      <c r="D144">
        <v>143</v>
      </c>
      <c r="G144">
        <v>0</v>
      </c>
    </row>
    <row r="145" spans="1:7" x14ac:dyDescent="0.25">
      <c r="A145" t="b">
        <v>1</v>
      </c>
      <c r="B145">
        <v>65280</v>
      </c>
      <c r="C145" t="s">
        <v>229</v>
      </c>
      <c r="D145">
        <v>144</v>
      </c>
      <c r="G145">
        <v>0</v>
      </c>
    </row>
    <row r="146" spans="1:7" x14ac:dyDescent="0.25">
      <c r="A146" t="b">
        <v>1</v>
      </c>
      <c r="B146">
        <v>255</v>
      </c>
      <c r="C146" t="s">
        <v>230</v>
      </c>
      <c r="D146">
        <v>145</v>
      </c>
      <c r="E146">
        <v>28.71</v>
      </c>
      <c r="G146">
        <v>0</v>
      </c>
    </row>
    <row r="147" spans="1:7" x14ac:dyDescent="0.25">
      <c r="A147" t="b">
        <v>1</v>
      </c>
      <c r="B147">
        <v>255</v>
      </c>
      <c r="C147" t="s">
        <v>231</v>
      </c>
      <c r="D147">
        <v>146</v>
      </c>
      <c r="E147">
        <v>28.53</v>
      </c>
      <c r="G147">
        <v>0</v>
      </c>
    </row>
    <row r="148" spans="1:7" x14ac:dyDescent="0.25">
      <c r="A148" t="b">
        <v>1</v>
      </c>
      <c r="B148">
        <v>255</v>
      </c>
      <c r="C148" t="s">
        <v>232</v>
      </c>
      <c r="D148">
        <v>147</v>
      </c>
      <c r="E148">
        <v>28.67</v>
      </c>
      <c r="G148">
        <v>0</v>
      </c>
    </row>
    <row r="149" spans="1:7" x14ac:dyDescent="0.25">
      <c r="A149" t="b">
        <v>1</v>
      </c>
      <c r="B149">
        <v>255</v>
      </c>
      <c r="C149" t="s">
        <v>233</v>
      </c>
      <c r="D149">
        <v>148</v>
      </c>
      <c r="E149">
        <v>27.68</v>
      </c>
      <c r="G149">
        <v>0</v>
      </c>
    </row>
    <row r="150" spans="1:7" x14ac:dyDescent="0.25">
      <c r="A150" t="b">
        <v>1</v>
      </c>
      <c r="B150">
        <v>255</v>
      </c>
      <c r="C150" t="s">
        <v>234</v>
      </c>
      <c r="D150">
        <v>149</v>
      </c>
      <c r="E150">
        <v>27.61</v>
      </c>
      <c r="G150">
        <v>0</v>
      </c>
    </row>
    <row r="151" spans="1:7" x14ac:dyDescent="0.25">
      <c r="A151" t="b">
        <v>1</v>
      </c>
      <c r="B151">
        <v>255</v>
      </c>
      <c r="C151" t="s">
        <v>235</v>
      </c>
      <c r="D151">
        <v>150</v>
      </c>
      <c r="E151">
        <v>27.84</v>
      </c>
      <c r="G151">
        <v>0</v>
      </c>
    </row>
    <row r="152" spans="1:7" x14ac:dyDescent="0.25">
      <c r="A152" t="b">
        <v>1</v>
      </c>
      <c r="B152">
        <v>255</v>
      </c>
      <c r="C152" t="s">
        <v>236</v>
      </c>
      <c r="D152">
        <v>151</v>
      </c>
      <c r="E152">
        <v>28.16</v>
      </c>
      <c r="G152">
        <v>0</v>
      </c>
    </row>
    <row r="153" spans="1:7" x14ac:dyDescent="0.25">
      <c r="A153" t="b">
        <v>1</v>
      </c>
      <c r="B153">
        <v>255</v>
      </c>
      <c r="C153" t="s">
        <v>237</v>
      </c>
      <c r="D153">
        <v>152</v>
      </c>
      <c r="E153">
        <v>27.89</v>
      </c>
      <c r="G153">
        <v>0</v>
      </c>
    </row>
    <row r="154" spans="1:7" x14ac:dyDescent="0.25">
      <c r="A154" t="b">
        <v>1</v>
      </c>
      <c r="B154">
        <v>255</v>
      </c>
      <c r="C154" t="s">
        <v>238</v>
      </c>
      <c r="D154">
        <v>153</v>
      </c>
      <c r="E154">
        <v>27.85</v>
      </c>
      <c r="G154">
        <v>0</v>
      </c>
    </row>
    <row r="155" spans="1:7" x14ac:dyDescent="0.25">
      <c r="A155" t="b">
        <v>1</v>
      </c>
      <c r="B155">
        <v>255</v>
      </c>
      <c r="C155" t="s">
        <v>239</v>
      </c>
      <c r="D155">
        <v>154</v>
      </c>
      <c r="E155">
        <v>27.93</v>
      </c>
      <c r="G155">
        <v>0</v>
      </c>
    </row>
    <row r="156" spans="1:7" x14ac:dyDescent="0.25">
      <c r="A156" t="b">
        <v>1</v>
      </c>
      <c r="B156">
        <v>255</v>
      </c>
      <c r="C156" t="s">
        <v>240</v>
      </c>
      <c r="D156">
        <v>155</v>
      </c>
      <c r="E156">
        <v>28.02</v>
      </c>
      <c r="G156">
        <v>0</v>
      </c>
    </row>
    <row r="157" spans="1:7" x14ac:dyDescent="0.25">
      <c r="A157" t="b">
        <v>1</v>
      </c>
      <c r="B157">
        <v>255</v>
      </c>
      <c r="C157" t="s">
        <v>241</v>
      </c>
      <c r="D157">
        <v>156</v>
      </c>
      <c r="E157">
        <v>28.08</v>
      </c>
      <c r="G157">
        <v>0</v>
      </c>
    </row>
    <row r="158" spans="1:7" x14ac:dyDescent="0.25">
      <c r="A158" t="b">
        <v>1</v>
      </c>
      <c r="B158">
        <v>255</v>
      </c>
      <c r="C158" t="s">
        <v>242</v>
      </c>
      <c r="D158">
        <v>157</v>
      </c>
      <c r="E158">
        <v>29.5</v>
      </c>
      <c r="G158">
        <v>0</v>
      </c>
    </row>
    <row r="159" spans="1:7" x14ac:dyDescent="0.25">
      <c r="A159" t="b">
        <v>1</v>
      </c>
      <c r="B159">
        <v>255</v>
      </c>
      <c r="C159" t="s">
        <v>243</v>
      </c>
      <c r="D159">
        <v>158</v>
      </c>
      <c r="E159">
        <v>29.25</v>
      </c>
      <c r="G159">
        <v>0</v>
      </c>
    </row>
    <row r="160" spans="1:7" x14ac:dyDescent="0.25">
      <c r="A160" t="b">
        <v>1</v>
      </c>
      <c r="B160">
        <v>255</v>
      </c>
      <c r="C160" t="s">
        <v>244</v>
      </c>
      <c r="D160">
        <v>159</v>
      </c>
      <c r="E160">
        <v>29.2</v>
      </c>
      <c r="G160">
        <v>0</v>
      </c>
    </row>
    <row r="161" spans="1:7" x14ac:dyDescent="0.25">
      <c r="A161" t="b">
        <v>1</v>
      </c>
      <c r="B161">
        <v>255</v>
      </c>
      <c r="C161" t="s">
        <v>245</v>
      </c>
      <c r="D161">
        <v>160</v>
      </c>
      <c r="E161">
        <v>29.25</v>
      </c>
      <c r="G161">
        <v>0</v>
      </c>
    </row>
    <row r="162" spans="1:7" x14ac:dyDescent="0.25">
      <c r="A162" t="b">
        <v>1</v>
      </c>
      <c r="B162">
        <v>255</v>
      </c>
      <c r="C162" t="s">
        <v>246</v>
      </c>
      <c r="D162">
        <v>161</v>
      </c>
      <c r="E162">
        <v>29.5</v>
      </c>
      <c r="G162">
        <v>0</v>
      </c>
    </row>
    <row r="163" spans="1:7" x14ac:dyDescent="0.25">
      <c r="A163" t="b">
        <v>1</v>
      </c>
      <c r="B163">
        <v>255</v>
      </c>
      <c r="C163" t="s">
        <v>247</v>
      </c>
      <c r="D163">
        <v>162</v>
      </c>
      <c r="E163">
        <v>29.42</v>
      </c>
      <c r="G163">
        <v>0</v>
      </c>
    </row>
    <row r="164" spans="1:7" x14ac:dyDescent="0.25">
      <c r="A164" t="b">
        <v>1</v>
      </c>
      <c r="B164">
        <v>65280</v>
      </c>
      <c r="C164" t="s">
        <v>248</v>
      </c>
      <c r="D164">
        <v>163</v>
      </c>
      <c r="G164">
        <v>0</v>
      </c>
    </row>
    <row r="165" spans="1:7" x14ac:dyDescent="0.25">
      <c r="A165" t="b">
        <v>1</v>
      </c>
      <c r="B165">
        <v>65280</v>
      </c>
      <c r="C165" t="s">
        <v>249</v>
      </c>
      <c r="D165">
        <v>164</v>
      </c>
      <c r="G165">
        <v>0</v>
      </c>
    </row>
    <row r="166" spans="1:7" x14ac:dyDescent="0.25">
      <c r="A166" t="b">
        <v>1</v>
      </c>
      <c r="B166">
        <v>65280</v>
      </c>
      <c r="C166" t="s">
        <v>250</v>
      </c>
      <c r="D166">
        <v>165</v>
      </c>
      <c r="G166">
        <v>0</v>
      </c>
    </row>
    <row r="167" spans="1:7" x14ac:dyDescent="0.25">
      <c r="A167" t="b">
        <v>1</v>
      </c>
      <c r="B167">
        <v>65280</v>
      </c>
      <c r="C167" t="s">
        <v>251</v>
      </c>
      <c r="D167">
        <v>166</v>
      </c>
      <c r="G167">
        <v>0</v>
      </c>
    </row>
    <row r="168" spans="1:7" x14ac:dyDescent="0.25">
      <c r="A168" t="b">
        <v>1</v>
      </c>
      <c r="B168">
        <v>65280</v>
      </c>
      <c r="C168" t="s">
        <v>252</v>
      </c>
      <c r="D168">
        <v>167</v>
      </c>
      <c r="G168">
        <v>0</v>
      </c>
    </row>
    <row r="169" spans="1:7" x14ac:dyDescent="0.25">
      <c r="A169" t="b">
        <v>1</v>
      </c>
      <c r="B169">
        <v>65280</v>
      </c>
      <c r="C169" t="s">
        <v>253</v>
      </c>
      <c r="D169">
        <v>168</v>
      </c>
      <c r="G169">
        <v>0</v>
      </c>
    </row>
    <row r="170" spans="1:7" x14ac:dyDescent="0.25">
      <c r="A170" t="b">
        <v>1</v>
      </c>
      <c r="B170">
        <v>255</v>
      </c>
      <c r="C170" t="s">
        <v>254</v>
      </c>
      <c r="D170">
        <v>169</v>
      </c>
      <c r="E170">
        <v>32.57</v>
      </c>
      <c r="G170">
        <v>0</v>
      </c>
    </row>
    <row r="171" spans="1:7" x14ac:dyDescent="0.25">
      <c r="A171" t="b">
        <v>1</v>
      </c>
      <c r="B171">
        <v>255</v>
      </c>
      <c r="C171" t="s">
        <v>255</v>
      </c>
      <c r="D171">
        <v>170</v>
      </c>
      <c r="E171">
        <v>32.299999999999997</v>
      </c>
      <c r="G171">
        <v>0</v>
      </c>
    </row>
    <row r="172" spans="1:7" x14ac:dyDescent="0.25">
      <c r="A172" t="b">
        <v>1</v>
      </c>
      <c r="B172">
        <v>255</v>
      </c>
      <c r="C172" t="s">
        <v>256</v>
      </c>
      <c r="D172">
        <v>171</v>
      </c>
      <c r="E172">
        <v>32.86</v>
      </c>
      <c r="G172">
        <v>0</v>
      </c>
    </row>
    <row r="173" spans="1:7" x14ac:dyDescent="0.25">
      <c r="A173" t="b">
        <v>1</v>
      </c>
      <c r="B173">
        <v>255</v>
      </c>
      <c r="C173" t="s">
        <v>257</v>
      </c>
      <c r="D173">
        <v>172</v>
      </c>
      <c r="E173">
        <v>31.48</v>
      </c>
      <c r="G173">
        <v>0</v>
      </c>
    </row>
    <row r="174" spans="1:7" x14ac:dyDescent="0.25">
      <c r="A174" t="b">
        <v>1</v>
      </c>
      <c r="B174">
        <v>255</v>
      </c>
      <c r="C174" t="s">
        <v>258</v>
      </c>
      <c r="D174">
        <v>173</v>
      </c>
      <c r="E174">
        <v>31.49</v>
      </c>
      <c r="G174">
        <v>0</v>
      </c>
    </row>
    <row r="175" spans="1:7" x14ac:dyDescent="0.25">
      <c r="A175" t="b">
        <v>1</v>
      </c>
      <c r="B175">
        <v>255</v>
      </c>
      <c r="C175" t="s">
        <v>259</v>
      </c>
      <c r="D175">
        <v>174</v>
      </c>
      <c r="E175">
        <v>31.14</v>
      </c>
      <c r="G175">
        <v>0</v>
      </c>
    </row>
    <row r="176" spans="1:7" x14ac:dyDescent="0.25">
      <c r="A176" t="b">
        <v>1</v>
      </c>
      <c r="B176">
        <v>255</v>
      </c>
      <c r="C176" t="s">
        <v>260</v>
      </c>
      <c r="D176">
        <v>175</v>
      </c>
      <c r="E176">
        <v>30.97</v>
      </c>
      <c r="G176">
        <v>0</v>
      </c>
    </row>
    <row r="177" spans="1:8" x14ac:dyDescent="0.25">
      <c r="A177" t="b">
        <v>1</v>
      </c>
      <c r="B177">
        <v>255</v>
      </c>
      <c r="C177" t="s">
        <v>261</v>
      </c>
      <c r="D177">
        <v>176</v>
      </c>
      <c r="E177">
        <v>31.58</v>
      </c>
      <c r="G177">
        <v>0</v>
      </c>
    </row>
    <row r="178" spans="1:8" x14ac:dyDescent="0.25">
      <c r="A178" t="b">
        <v>1</v>
      </c>
      <c r="B178">
        <v>255</v>
      </c>
      <c r="C178" t="s">
        <v>262</v>
      </c>
      <c r="D178">
        <v>177</v>
      </c>
      <c r="E178">
        <v>31.02</v>
      </c>
      <c r="G178">
        <v>0</v>
      </c>
    </row>
    <row r="179" spans="1:8" x14ac:dyDescent="0.25">
      <c r="A179" t="b">
        <v>1</v>
      </c>
      <c r="B179">
        <v>255</v>
      </c>
      <c r="C179" t="s">
        <v>263</v>
      </c>
      <c r="D179">
        <v>178</v>
      </c>
      <c r="E179">
        <v>33.590000000000003</v>
      </c>
      <c r="G179">
        <v>0</v>
      </c>
    </row>
    <row r="180" spans="1:8" x14ac:dyDescent="0.25">
      <c r="A180" t="b">
        <v>1</v>
      </c>
      <c r="B180">
        <v>255</v>
      </c>
      <c r="C180" t="s">
        <v>264</v>
      </c>
      <c r="D180">
        <v>179</v>
      </c>
      <c r="E180">
        <v>33.090000000000003</v>
      </c>
      <c r="G180">
        <v>0</v>
      </c>
    </row>
    <row r="181" spans="1:8" x14ac:dyDescent="0.25">
      <c r="A181" t="b">
        <v>1</v>
      </c>
      <c r="B181">
        <v>255</v>
      </c>
      <c r="C181" t="s">
        <v>265</v>
      </c>
      <c r="D181">
        <v>180</v>
      </c>
      <c r="E181">
        <v>33.53</v>
      </c>
      <c r="G181">
        <v>0</v>
      </c>
    </row>
    <row r="182" spans="1:8" x14ac:dyDescent="0.25">
      <c r="A182" t="b">
        <v>1</v>
      </c>
      <c r="B182">
        <v>255</v>
      </c>
      <c r="C182" t="s">
        <v>266</v>
      </c>
      <c r="D182">
        <v>181</v>
      </c>
      <c r="E182">
        <v>40</v>
      </c>
      <c r="G182">
        <v>0</v>
      </c>
      <c r="H182" t="s">
        <v>267</v>
      </c>
    </row>
    <row r="183" spans="1:8" x14ac:dyDescent="0.25">
      <c r="A183" t="b">
        <v>1</v>
      </c>
      <c r="B183">
        <v>255</v>
      </c>
      <c r="C183" t="s">
        <v>268</v>
      </c>
      <c r="D183">
        <v>182</v>
      </c>
      <c r="E183">
        <v>34.82</v>
      </c>
      <c r="G183">
        <v>0</v>
      </c>
    </row>
    <row r="184" spans="1:8" x14ac:dyDescent="0.25">
      <c r="A184" t="b">
        <v>1</v>
      </c>
      <c r="B184">
        <v>255</v>
      </c>
      <c r="C184" t="s">
        <v>269</v>
      </c>
      <c r="D184">
        <v>183</v>
      </c>
      <c r="E184">
        <v>34.880000000000003</v>
      </c>
      <c r="G184">
        <v>0</v>
      </c>
    </row>
    <row r="185" spans="1:8" x14ac:dyDescent="0.25">
      <c r="A185" t="b">
        <v>1</v>
      </c>
      <c r="B185">
        <v>255</v>
      </c>
      <c r="C185" t="s">
        <v>270</v>
      </c>
      <c r="D185">
        <v>184</v>
      </c>
      <c r="E185">
        <v>36.65</v>
      </c>
      <c r="G185">
        <v>0</v>
      </c>
    </row>
    <row r="186" spans="1:8" x14ac:dyDescent="0.25">
      <c r="A186" t="b">
        <v>1</v>
      </c>
      <c r="B186">
        <v>255</v>
      </c>
      <c r="C186" t="s">
        <v>271</v>
      </c>
      <c r="D186">
        <v>185</v>
      </c>
      <c r="E186">
        <v>35.74</v>
      </c>
      <c r="G186">
        <v>0</v>
      </c>
    </row>
    <row r="187" spans="1:8" x14ac:dyDescent="0.25">
      <c r="A187" t="b">
        <v>1</v>
      </c>
      <c r="B187">
        <v>255</v>
      </c>
      <c r="C187" t="s">
        <v>272</v>
      </c>
      <c r="D187">
        <v>186</v>
      </c>
      <c r="E187">
        <v>36.08</v>
      </c>
      <c r="G187">
        <v>0</v>
      </c>
    </row>
    <row r="188" spans="1:8" x14ac:dyDescent="0.25">
      <c r="A188" t="b">
        <v>1</v>
      </c>
      <c r="B188">
        <v>65280</v>
      </c>
      <c r="C188" t="s">
        <v>273</v>
      </c>
      <c r="D188">
        <v>187</v>
      </c>
      <c r="G188">
        <v>0</v>
      </c>
    </row>
    <row r="189" spans="1:8" x14ac:dyDescent="0.25">
      <c r="A189" t="b">
        <v>1</v>
      </c>
      <c r="B189">
        <v>65280</v>
      </c>
      <c r="C189" t="s">
        <v>274</v>
      </c>
      <c r="D189">
        <v>188</v>
      </c>
      <c r="G189">
        <v>0</v>
      </c>
    </row>
    <row r="190" spans="1:8" x14ac:dyDescent="0.25">
      <c r="A190" t="b">
        <v>1</v>
      </c>
      <c r="B190">
        <v>65280</v>
      </c>
      <c r="C190" t="s">
        <v>275</v>
      </c>
      <c r="D190">
        <v>189</v>
      </c>
      <c r="G190">
        <v>0</v>
      </c>
    </row>
    <row r="191" spans="1:8" x14ac:dyDescent="0.25">
      <c r="A191" t="b">
        <v>1</v>
      </c>
      <c r="B191">
        <v>65280</v>
      </c>
      <c r="C191" t="s">
        <v>276</v>
      </c>
      <c r="D191">
        <v>190</v>
      </c>
      <c r="G191">
        <v>0</v>
      </c>
    </row>
    <row r="192" spans="1:8" x14ac:dyDescent="0.25">
      <c r="A192" t="b">
        <v>1</v>
      </c>
      <c r="B192">
        <v>65280</v>
      </c>
      <c r="C192" t="s">
        <v>277</v>
      </c>
      <c r="D192">
        <v>191</v>
      </c>
      <c r="G192">
        <v>0</v>
      </c>
    </row>
    <row r="193" spans="1:7" x14ac:dyDescent="0.25">
      <c r="A193" t="b">
        <v>1</v>
      </c>
      <c r="B193">
        <v>65280</v>
      </c>
      <c r="C193" t="s">
        <v>278</v>
      </c>
      <c r="D193">
        <v>192</v>
      </c>
      <c r="G193">
        <v>0</v>
      </c>
    </row>
    <row r="194" spans="1:7" x14ac:dyDescent="0.25">
      <c r="A194" t="b">
        <v>1</v>
      </c>
      <c r="B194">
        <v>255</v>
      </c>
      <c r="C194" t="s">
        <v>279</v>
      </c>
      <c r="D194">
        <v>193</v>
      </c>
      <c r="E194">
        <v>26.01</v>
      </c>
      <c r="G194">
        <v>0</v>
      </c>
    </row>
    <row r="195" spans="1:7" x14ac:dyDescent="0.25">
      <c r="A195" t="b">
        <v>1</v>
      </c>
      <c r="B195">
        <v>255</v>
      </c>
      <c r="C195" t="s">
        <v>280</v>
      </c>
      <c r="D195">
        <v>194</v>
      </c>
      <c r="E195">
        <v>25.98</v>
      </c>
      <c r="G195">
        <v>0</v>
      </c>
    </row>
    <row r="196" spans="1:7" x14ac:dyDescent="0.25">
      <c r="A196" t="b">
        <v>1</v>
      </c>
      <c r="B196">
        <v>255</v>
      </c>
      <c r="C196" t="s">
        <v>281</v>
      </c>
      <c r="D196">
        <v>195</v>
      </c>
      <c r="E196">
        <v>25.98</v>
      </c>
      <c r="G196">
        <v>0</v>
      </c>
    </row>
    <row r="197" spans="1:7" x14ac:dyDescent="0.25">
      <c r="A197" t="b">
        <v>1</v>
      </c>
      <c r="B197">
        <v>255</v>
      </c>
      <c r="C197" t="s">
        <v>282</v>
      </c>
      <c r="D197">
        <v>196</v>
      </c>
      <c r="E197">
        <v>25.68</v>
      </c>
      <c r="G197">
        <v>0</v>
      </c>
    </row>
    <row r="198" spans="1:7" x14ac:dyDescent="0.25">
      <c r="A198" t="b">
        <v>1</v>
      </c>
      <c r="B198">
        <v>255</v>
      </c>
      <c r="C198" t="s">
        <v>283</v>
      </c>
      <c r="D198">
        <v>197</v>
      </c>
      <c r="E198">
        <v>25.64</v>
      </c>
      <c r="G198">
        <v>0</v>
      </c>
    </row>
    <row r="199" spans="1:7" x14ac:dyDescent="0.25">
      <c r="A199" t="b">
        <v>1</v>
      </c>
      <c r="B199">
        <v>255</v>
      </c>
      <c r="C199" t="s">
        <v>284</v>
      </c>
      <c r="D199">
        <v>198</v>
      </c>
      <c r="E199">
        <v>25.68</v>
      </c>
      <c r="G199">
        <v>0</v>
      </c>
    </row>
    <row r="200" spans="1:7" x14ac:dyDescent="0.25">
      <c r="A200" t="b">
        <v>1</v>
      </c>
      <c r="B200">
        <v>255</v>
      </c>
      <c r="C200" t="s">
        <v>285</v>
      </c>
      <c r="D200">
        <v>199</v>
      </c>
      <c r="E200">
        <v>25.24</v>
      </c>
      <c r="G200">
        <v>0</v>
      </c>
    </row>
    <row r="201" spans="1:7" x14ac:dyDescent="0.25">
      <c r="A201" t="b">
        <v>1</v>
      </c>
      <c r="B201">
        <v>255</v>
      </c>
      <c r="C201" t="s">
        <v>286</v>
      </c>
      <c r="D201">
        <v>200</v>
      </c>
      <c r="E201">
        <v>25.34</v>
      </c>
      <c r="G201">
        <v>0</v>
      </c>
    </row>
    <row r="202" spans="1:7" x14ac:dyDescent="0.25">
      <c r="A202" t="b">
        <v>1</v>
      </c>
      <c r="B202">
        <v>255</v>
      </c>
      <c r="C202" t="s">
        <v>287</v>
      </c>
      <c r="D202">
        <v>201</v>
      </c>
      <c r="E202">
        <v>25.34</v>
      </c>
      <c r="G202">
        <v>0</v>
      </c>
    </row>
    <row r="203" spans="1:7" x14ac:dyDescent="0.25">
      <c r="A203" t="b">
        <v>1</v>
      </c>
      <c r="B203">
        <v>255</v>
      </c>
      <c r="C203" t="s">
        <v>288</v>
      </c>
      <c r="D203">
        <v>202</v>
      </c>
      <c r="E203">
        <v>27.12</v>
      </c>
      <c r="G203">
        <v>0</v>
      </c>
    </row>
    <row r="204" spans="1:7" x14ac:dyDescent="0.25">
      <c r="A204" t="b">
        <v>1</v>
      </c>
      <c r="B204">
        <v>255</v>
      </c>
      <c r="C204" t="s">
        <v>289</v>
      </c>
      <c r="D204">
        <v>203</v>
      </c>
      <c r="E204">
        <v>27.03</v>
      </c>
      <c r="G204">
        <v>0</v>
      </c>
    </row>
    <row r="205" spans="1:7" x14ac:dyDescent="0.25">
      <c r="A205" t="b">
        <v>1</v>
      </c>
      <c r="B205">
        <v>255</v>
      </c>
      <c r="C205" t="s">
        <v>290</v>
      </c>
      <c r="D205">
        <v>204</v>
      </c>
      <c r="E205">
        <v>27.04</v>
      </c>
      <c r="G205">
        <v>0</v>
      </c>
    </row>
    <row r="206" spans="1:7" x14ac:dyDescent="0.25">
      <c r="A206" t="b">
        <v>1</v>
      </c>
      <c r="B206">
        <v>255</v>
      </c>
      <c r="C206" t="s">
        <v>291</v>
      </c>
      <c r="D206">
        <v>205</v>
      </c>
      <c r="E206">
        <v>28.22</v>
      </c>
      <c r="G206">
        <v>0</v>
      </c>
    </row>
    <row r="207" spans="1:7" x14ac:dyDescent="0.25">
      <c r="A207" t="b">
        <v>1</v>
      </c>
      <c r="B207">
        <v>255</v>
      </c>
      <c r="C207" t="s">
        <v>292</v>
      </c>
      <c r="D207">
        <v>206</v>
      </c>
      <c r="E207">
        <v>28.52</v>
      </c>
      <c r="G207">
        <v>0</v>
      </c>
    </row>
    <row r="208" spans="1:7" x14ac:dyDescent="0.25">
      <c r="A208" t="b">
        <v>1</v>
      </c>
      <c r="B208">
        <v>255</v>
      </c>
      <c r="C208" t="s">
        <v>293</v>
      </c>
      <c r="D208">
        <v>207</v>
      </c>
      <c r="E208">
        <v>28.46</v>
      </c>
      <c r="G208">
        <v>0</v>
      </c>
    </row>
    <row r="209" spans="1:7" x14ac:dyDescent="0.25">
      <c r="A209" t="b">
        <v>1</v>
      </c>
      <c r="B209">
        <v>255</v>
      </c>
      <c r="C209" t="s">
        <v>294</v>
      </c>
      <c r="D209">
        <v>208</v>
      </c>
      <c r="E209">
        <v>28.76</v>
      </c>
      <c r="G209">
        <v>0</v>
      </c>
    </row>
    <row r="210" spans="1:7" x14ac:dyDescent="0.25">
      <c r="A210" t="b">
        <v>1</v>
      </c>
      <c r="B210">
        <v>255</v>
      </c>
      <c r="C210" t="s">
        <v>295</v>
      </c>
      <c r="D210">
        <v>209</v>
      </c>
      <c r="E210">
        <v>29.16</v>
      </c>
      <c r="G210">
        <v>0</v>
      </c>
    </row>
    <row r="211" spans="1:7" x14ac:dyDescent="0.25">
      <c r="A211" t="b">
        <v>1</v>
      </c>
      <c r="B211">
        <v>255</v>
      </c>
      <c r="C211" t="s">
        <v>296</v>
      </c>
      <c r="D211">
        <v>210</v>
      </c>
      <c r="E211">
        <v>28.93</v>
      </c>
      <c r="G211">
        <v>0</v>
      </c>
    </row>
    <row r="212" spans="1:7" x14ac:dyDescent="0.25">
      <c r="A212" t="b">
        <v>1</v>
      </c>
      <c r="B212">
        <v>65280</v>
      </c>
      <c r="C212" t="s">
        <v>297</v>
      </c>
      <c r="D212">
        <v>211</v>
      </c>
      <c r="G212">
        <v>0</v>
      </c>
    </row>
    <row r="213" spans="1:7" x14ac:dyDescent="0.25">
      <c r="A213" t="b">
        <v>1</v>
      </c>
      <c r="B213">
        <v>65280</v>
      </c>
      <c r="C213" t="s">
        <v>298</v>
      </c>
      <c r="D213">
        <v>212</v>
      </c>
      <c r="G213">
        <v>0</v>
      </c>
    </row>
    <row r="214" spans="1:7" x14ac:dyDescent="0.25">
      <c r="A214" t="b">
        <v>1</v>
      </c>
      <c r="B214">
        <v>65280</v>
      </c>
      <c r="C214" t="s">
        <v>299</v>
      </c>
      <c r="D214">
        <v>213</v>
      </c>
      <c r="G214">
        <v>0</v>
      </c>
    </row>
    <row r="215" spans="1:7" x14ac:dyDescent="0.25">
      <c r="A215" t="b">
        <v>1</v>
      </c>
      <c r="B215">
        <v>65280</v>
      </c>
      <c r="C215" t="s">
        <v>300</v>
      </c>
      <c r="D215">
        <v>214</v>
      </c>
      <c r="G215">
        <v>0</v>
      </c>
    </row>
    <row r="216" spans="1:7" x14ac:dyDescent="0.25">
      <c r="A216" t="b">
        <v>1</v>
      </c>
      <c r="B216">
        <v>65280</v>
      </c>
      <c r="C216" t="s">
        <v>301</v>
      </c>
      <c r="D216">
        <v>215</v>
      </c>
      <c r="G216">
        <v>0</v>
      </c>
    </row>
    <row r="217" spans="1:7" x14ac:dyDescent="0.25">
      <c r="A217" t="b">
        <v>1</v>
      </c>
      <c r="B217">
        <v>65280</v>
      </c>
      <c r="C217" t="s">
        <v>302</v>
      </c>
      <c r="D217">
        <v>216</v>
      </c>
      <c r="G217">
        <v>0</v>
      </c>
    </row>
    <row r="218" spans="1:7" x14ac:dyDescent="0.25">
      <c r="A218" t="b">
        <v>1</v>
      </c>
      <c r="B218">
        <v>255</v>
      </c>
      <c r="C218" t="s">
        <v>303</v>
      </c>
      <c r="D218">
        <v>217</v>
      </c>
      <c r="E218">
        <v>31.87</v>
      </c>
      <c r="G218">
        <v>0</v>
      </c>
    </row>
    <row r="219" spans="1:7" x14ac:dyDescent="0.25">
      <c r="A219" t="b">
        <v>1</v>
      </c>
      <c r="B219">
        <v>255</v>
      </c>
      <c r="C219" t="s">
        <v>304</v>
      </c>
      <c r="D219">
        <v>218</v>
      </c>
      <c r="E219">
        <v>32.619999999999997</v>
      </c>
      <c r="G219">
        <v>0</v>
      </c>
    </row>
    <row r="220" spans="1:7" x14ac:dyDescent="0.25">
      <c r="A220" t="b">
        <v>1</v>
      </c>
      <c r="B220">
        <v>255</v>
      </c>
      <c r="C220" t="s">
        <v>305</v>
      </c>
      <c r="D220">
        <v>219</v>
      </c>
      <c r="E220">
        <v>31.49</v>
      </c>
      <c r="G220">
        <v>0</v>
      </c>
    </row>
    <row r="221" spans="1:7" x14ac:dyDescent="0.25">
      <c r="A221" t="b">
        <v>1</v>
      </c>
      <c r="B221">
        <v>255</v>
      </c>
      <c r="C221" t="s">
        <v>306</v>
      </c>
      <c r="D221">
        <v>220</v>
      </c>
      <c r="E221">
        <v>31</v>
      </c>
      <c r="G221">
        <v>0</v>
      </c>
    </row>
    <row r="222" spans="1:7" x14ac:dyDescent="0.25">
      <c r="A222" t="b">
        <v>1</v>
      </c>
      <c r="B222">
        <v>255</v>
      </c>
      <c r="C222" t="s">
        <v>307</v>
      </c>
      <c r="D222">
        <v>221</v>
      </c>
      <c r="E222">
        <v>31.55</v>
      </c>
      <c r="G222">
        <v>0</v>
      </c>
    </row>
    <row r="223" spans="1:7" x14ac:dyDescent="0.25">
      <c r="A223" t="b">
        <v>1</v>
      </c>
      <c r="B223">
        <v>255</v>
      </c>
      <c r="C223" t="s">
        <v>308</v>
      </c>
      <c r="D223">
        <v>222</v>
      </c>
      <c r="E223">
        <v>31.06</v>
      </c>
      <c r="G223">
        <v>0</v>
      </c>
    </row>
    <row r="224" spans="1:7" x14ac:dyDescent="0.25">
      <c r="A224" t="b">
        <v>1</v>
      </c>
      <c r="B224">
        <v>255</v>
      </c>
      <c r="C224" t="s">
        <v>309</v>
      </c>
      <c r="D224">
        <v>223</v>
      </c>
      <c r="E224">
        <v>31.05</v>
      </c>
      <c r="G224">
        <v>0</v>
      </c>
    </row>
    <row r="225" spans="1:7" x14ac:dyDescent="0.25">
      <c r="A225" t="b">
        <v>1</v>
      </c>
      <c r="B225">
        <v>255</v>
      </c>
      <c r="C225" t="s">
        <v>310</v>
      </c>
      <c r="D225">
        <v>224</v>
      </c>
      <c r="E225">
        <v>31.16</v>
      </c>
      <c r="G225">
        <v>0</v>
      </c>
    </row>
    <row r="226" spans="1:7" x14ac:dyDescent="0.25">
      <c r="A226" t="b">
        <v>1</v>
      </c>
      <c r="B226">
        <v>255</v>
      </c>
      <c r="C226" t="s">
        <v>311</v>
      </c>
      <c r="D226">
        <v>225</v>
      </c>
      <c r="E226">
        <v>31.17</v>
      </c>
      <c r="G226">
        <v>0</v>
      </c>
    </row>
    <row r="227" spans="1:7" x14ac:dyDescent="0.25">
      <c r="A227" t="b">
        <v>1</v>
      </c>
      <c r="B227">
        <v>255</v>
      </c>
      <c r="C227" t="s">
        <v>312</v>
      </c>
      <c r="D227">
        <v>226</v>
      </c>
      <c r="E227">
        <v>31.51</v>
      </c>
      <c r="G227">
        <v>0</v>
      </c>
    </row>
    <row r="228" spans="1:7" x14ac:dyDescent="0.25">
      <c r="A228" t="b">
        <v>1</v>
      </c>
      <c r="B228">
        <v>255</v>
      </c>
      <c r="C228" t="s">
        <v>313</v>
      </c>
      <c r="D228">
        <v>227</v>
      </c>
      <c r="E228">
        <v>31.22</v>
      </c>
      <c r="G228">
        <v>0</v>
      </c>
    </row>
    <row r="229" spans="1:7" x14ac:dyDescent="0.25">
      <c r="A229" t="b">
        <v>1</v>
      </c>
      <c r="B229">
        <v>255</v>
      </c>
      <c r="C229" t="s">
        <v>314</v>
      </c>
      <c r="D229">
        <v>228</v>
      </c>
      <c r="E229">
        <v>31.26</v>
      </c>
      <c r="G229">
        <v>0</v>
      </c>
    </row>
    <row r="230" spans="1:7" x14ac:dyDescent="0.25">
      <c r="A230" t="b">
        <v>1</v>
      </c>
      <c r="B230">
        <v>255</v>
      </c>
      <c r="C230" t="s">
        <v>315</v>
      </c>
      <c r="D230">
        <v>229</v>
      </c>
      <c r="E230">
        <v>33.17</v>
      </c>
      <c r="G230">
        <v>0</v>
      </c>
    </row>
    <row r="231" spans="1:7" x14ac:dyDescent="0.25">
      <c r="A231" t="b">
        <v>1</v>
      </c>
      <c r="B231">
        <v>255</v>
      </c>
      <c r="C231" t="s">
        <v>316</v>
      </c>
      <c r="D231">
        <v>230</v>
      </c>
      <c r="E231">
        <v>32.58</v>
      </c>
      <c r="G231">
        <v>0</v>
      </c>
    </row>
    <row r="232" spans="1:7" x14ac:dyDescent="0.25">
      <c r="A232" t="b">
        <v>1</v>
      </c>
      <c r="B232">
        <v>255</v>
      </c>
      <c r="C232" t="s">
        <v>317</v>
      </c>
      <c r="D232">
        <v>231</v>
      </c>
      <c r="E232">
        <v>33.520000000000003</v>
      </c>
      <c r="G232">
        <v>0</v>
      </c>
    </row>
    <row r="233" spans="1:7" x14ac:dyDescent="0.25">
      <c r="A233" t="b">
        <v>1</v>
      </c>
      <c r="B233">
        <v>255</v>
      </c>
      <c r="C233" t="s">
        <v>318</v>
      </c>
      <c r="D233">
        <v>232</v>
      </c>
      <c r="E233">
        <v>33.57</v>
      </c>
      <c r="G233">
        <v>0</v>
      </c>
    </row>
    <row r="234" spans="1:7" x14ac:dyDescent="0.25">
      <c r="A234" t="b">
        <v>1</v>
      </c>
      <c r="B234">
        <v>255</v>
      </c>
      <c r="C234" t="s">
        <v>319</v>
      </c>
      <c r="D234">
        <v>233</v>
      </c>
      <c r="E234">
        <v>34.53</v>
      </c>
      <c r="G234">
        <v>0</v>
      </c>
    </row>
    <row r="235" spans="1:7" x14ac:dyDescent="0.25">
      <c r="A235" t="b">
        <v>1</v>
      </c>
      <c r="B235">
        <v>255</v>
      </c>
      <c r="C235" t="s">
        <v>320</v>
      </c>
      <c r="D235">
        <v>234</v>
      </c>
      <c r="E235">
        <v>34.51</v>
      </c>
      <c r="G235">
        <v>0</v>
      </c>
    </row>
    <row r="236" spans="1:7" x14ac:dyDescent="0.25">
      <c r="A236" t="b">
        <v>1</v>
      </c>
      <c r="B236">
        <v>65280</v>
      </c>
      <c r="C236" t="s">
        <v>321</v>
      </c>
      <c r="D236">
        <v>235</v>
      </c>
      <c r="G236">
        <v>0</v>
      </c>
    </row>
    <row r="237" spans="1:7" x14ac:dyDescent="0.25">
      <c r="A237" t="b">
        <v>1</v>
      </c>
      <c r="B237">
        <v>65280</v>
      </c>
      <c r="C237" t="s">
        <v>322</v>
      </c>
      <c r="D237">
        <v>236</v>
      </c>
      <c r="G237">
        <v>0</v>
      </c>
    </row>
    <row r="238" spans="1:7" x14ac:dyDescent="0.25">
      <c r="A238" t="b">
        <v>1</v>
      </c>
      <c r="B238">
        <v>65280</v>
      </c>
      <c r="C238" t="s">
        <v>323</v>
      </c>
      <c r="D238">
        <v>237</v>
      </c>
      <c r="G238">
        <v>0</v>
      </c>
    </row>
    <row r="239" spans="1:7" x14ac:dyDescent="0.25">
      <c r="A239" t="b">
        <v>1</v>
      </c>
      <c r="B239">
        <v>65280</v>
      </c>
      <c r="C239" t="s">
        <v>324</v>
      </c>
      <c r="D239">
        <v>238</v>
      </c>
      <c r="G239">
        <v>0</v>
      </c>
    </row>
    <row r="240" spans="1:7" x14ac:dyDescent="0.25">
      <c r="A240" t="b">
        <v>1</v>
      </c>
      <c r="B240">
        <v>65280</v>
      </c>
      <c r="C240" t="s">
        <v>325</v>
      </c>
      <c r="D240">
        <v>239</v>
      </c>
      <c r="G240">
        <v>0</v>
      </c>
    </row>
    <row r="241" spans="1:7" x14ac:dyDescent="0.25">
      <c r="A241" t="b">
        <v>1</v>
      </c>
      <c r="B241">
        <v>65280</v>
      </c>
      <c r="C241" t="s">
        <v>326</v>
      </c>
      <c r="D241">
        <v>240</v>
      </c>
      <c r="G241">
        <v>0</v>
      </c>
    </row>
    <row r="242" spans="1:7" x14ac:dyDescent="0.25">
      <c r="A242" t="b">
        <v>1</v>
      </c>
      <c r="B242">
        <v>255</v>
      </c>
      <c r="C242" t="s">
        <v>327</v>
      </c>
      <c r="D242">
        <v>241</v>
      </c>
      <c r="E242">
        <v>30.91</v>
      </c>
      <c r="G242">
        <v>0</v>
      </c>
    </row>
    <row r="243" spans="1:7" x14ac:dyDescent="0.25">
      <c r="A243" t="b">
        <v>1</v>
      </c>
      <c r="B243">
        <v>255</v>
      </c>
      <c r="C243" t="s">
        <v>328</v>
      </c>
      <c r="D243">
        <v>242</v>
      </c>
      <c r="E243">
        <v>31.15</v>
      </c>
      <c r="G243">
        <v>0</v>
      </c>
    </row>
    <row r="244" spans="1:7" x14ac:dyDescent="0.25">
      <c r="A244" t="b">
        <v>1</v>
      </c>
      <c r="B244">
        <v>255</v>
      </c>
      <c r="C244" t="s">
        <v>329</v>
      </c>
      <c r="D244">
        <v>243</v>
      </c>
      <c r="E244">
        <v>31.14</v>
      </c>
      <c r="G244">
        <v>0</v>
      </c>
    </row>
    <row r="245" spans="1:7" x14ac:dyDescent="0.25">
      <c r="A245" t="b">
        <v>1</v>
      </c>
      <c r="B245">
        <v>255</v>
      </c>
      <c r="C245" t="s">
        <v>330</v>
      </c>
      <c r="D245">
        <v>244</v>
      </c>
      <c r="E245">
        <v>30.9</v>
      </c>
      <c r="G245">
        <v>0</v>
      </c>
    </row>
    <row r="246" spans="1:7" x14ac:dyDescent="0.25">
      <c r="A246" t="b">
        <v>1</v>
      </c>
      <c r="B246">
        <v>255</v>
      </c>
      <c r="C246" t="s">
        <v>331</v>
      </c>
      <c r="D246">
        <v>245</v>
      </c>
      <c r="E246">
        <v>30.94</v>
      </c>
      <c r="G246">
        <v>0</v>
      </c>
    </row>
    <row r="247" spans="1:7" x14ac:dyDescent="0.25">
      <c r="A247" t="b">
        <v>1</v>
      </c>
      <c r="B247">
        <v>255</v>
      </c>
      <c r="C247" t="s">
        <v>332</v>
      </c>
      <c r="D247">
        <v>246</v>
      </c>
      <c r="E247">
        <v>30.89</v>
      </c>
      <c r="G247">
        <v>0</v>
      </c>
    </row>
    <row r="248" spans="1:7" x14ac:dyDescent="0.25">
      <c r="A248" t="b">
        <v>1</v>
      </c>
      <c r="B248">
        <v>255</v>
      </c>
      <c r="C248" t="s">
        <v>333</v>
      </c>
      <c r="D248">
        <v>247</v>
      </c>
      <c r="E248">
        <v>30.88</v>
      </c>
      <c r="G248">
        <v>0</v>
      </c>
    </row>
    <row r="249" spans="1:7" x14ac:dyDescent="0.25">
      <c r="A249" t="b">
        <v>1</v>
      </c>
      <c r="B249">
        <v>255</v>
      </c>
      <c r="C249" t="s">
        <v>334</v>
      </c>
      <c r="D249">
        <v>248</v>
      </c>
      <c r="E249">
        <v>29.84</v>
      </c>
      <c r="G249">
        <v>0</v>
      </c>
    </row>
    <row r="250" spans="1:7" x14ac:dyDescent="0.25">
      <c r="A250" t="b">
        <v>1</v>
      </c>
      <c r="B250">
        <v>255</v>
      </c>
      <c r="C250" t="s">
        <v>335</v>
      </c>
      <c r="D250">
        <v>249</v>
      </c>
      <c r="E250">
        <v>31.02</v>
      </c>
      <c r="G250">
        <v>0</v>
      </c>
    </row>
    <row r="251" spans="1:7" x14ac:dyDescent="0.25">
      <c r="A251" t="b">
        <v>1</v>
      </c>
      <c r="B251">
        <v>255</v>
      </c>
      <c r="C251" t="s">
        <v>336</v>
      </c>
      <c r="D251">
        <v>250</v>
      </c>
      <c r="E251">
        <v>32.28</v>
      </c>
      <c r="G251">
        <v>0</v>
      </c>
    </row>
    <row r="252" spans="1:7" x14ac:dyDescent="0.25">
      <c r="A252" t="b">
        <v>1</v>
      </c>
      <c r="B252">
        <v>255</v>
      </c>
      <c r="C252" t="s">
        <v>337</v>
      </c>
      <c r="D252">
        <v>251</v>
      </c>
      <c r="E252">
        <v>32.130000000000003</v>
      </c>
      <c r="G252">
        <v>0</v>
      </c>
    </row>
    <row r="253" spans="1:7" x14ac:dyDescent="0.25">
      <c r="A253" t="b">
        <v>1</v>
      </c>
      <c r="B253">
        <v>255</v>
      </c>
      <c r="C253" t="s">
        <v>338</v>
      </c>
      <c r="D253">
        <v>252</v>
      </c>
      <c r="E253">
        <v>33.020000000000003</v>
      </c>
      <c r="G253">
        <v>0</v>
      </c>
    </row>
    <row r="254" spans="1:7" x14ac:dyDescent="0.25">
      <c r="A254" t="b">
        <v>1</v>
      </c>
      <c r="B254">
        <v>255</v>
      </c>
      <c r="C254" t="s">
        <v>339</v>
      </c>
      <c r="D254">
        <v>253</v>
      </c>
      <c r="E254">
        <v>32.68</v>
      </c>
      <c r="G254">
        <v>0</v>
      </c>
    </row>
    <row r="255" spans="1:7" x14ac:dyDescent="0.25">
      <c r="A255" t="b">
        <v>1</v>
      </c>
      <c r="B255">
        <v>255</v>
      </c>
      <c r="C255" t="s">
        <v>340</v>
      </c>
      <c r="D255">
        <v>254</v>
      </c>
      <c r="E255">
        <v>32.74</v>
      </c>
      <c r="G255">
        <v>0</v>
      </c>
    </row>
    <row r="256" spans="1:7" x14ac:dyDescent="0.25">
      <c r="A256" t="b">
        <v>1</v>
      </c>
      <c r="B256">
        <v>255</v>
      </c>
      <c r="C256" t="s">
        <v>341</v>
      </c>
      <c r="D256">
        <v>255</v>
      </c>
      <c r="E256">
        <v>32.44</v>
      </c>
      <c r="G256">
        <v>0</v>
      </c>
    </row>
    <row r="257" spans="1:8" x14ac:dyDescent="0.25">
      <c r="A257" t="b">
        <v>1</v>
      </c>
      <c r="B257">
        <v>255</v>
      </c>
      <c r="C257" t="s">
        <v>342</v>
      </c>
      <c r="D257">
        <v>256</v>
      </c>
      <c r="E257">
        <v>32.630000000000003</v>
      </c>
      <c r="G257">
        <v>0</v>
      </c>
    </row>
    <row r="258" spans="1:8" x14ac:dyDescent="0.25">
      <c r="A258" t="b">
        <v>1</v>
      </c>
      <c r="B258">
        <v>255</v>
      </c>
      <c r="C258" t="s">
        <v>343</v>
      </c>
      <c r="D258">
        <v>257</v>
      </c>
      <c r="E258">
        <v>32.72</v>
      </c>
      <c r="G258">
        <v>0</v>
      </c>
    </row>
    <row r="259" spans="1:8" x14ac:dyDescent="0.25">
      <c r="A259" t="b">
        <v>1</v>
      </c>
      <c r="B259">
        <v>255</v>
      </c>
      <c r="C259" t="s">
        <v>344</v>
      </c>
      <c r="D259">
        <v>258</v>
      </c>
      <c r="E259">
        <v>32.159999999999997</v>
      </c>
      <c r="G259">
        <v>0</v>
      </c>
    </row>
    <row r="260" spans="1:8" x14ac:dyDescent="0.25">
      <c r="A260" t="b">
        <v>1</v>
      </c>
      <c r="B260">
        <v>16711680</v>
      </c>
      <c r="C260" t="s">
        <v>345</v>
      </c>
      <c r="D260">
        <v>259</v>
      </c>
      <c r="E260">
        <v>32.590000000000003</v>
      </c>
      <c r="G260">
        <v>0</v>
      </c>
      <c r="H260" t="s">
        <v>346</v>
      </c>
    </row>
    <row r="261" spans="1:8" x14ac:dyDescent="0.25">
      <c r="A261" t="b">
        <v>1</v>
      </c>
      <c r="B261">
        <v>65280</v>
      </c>
      <c r="C261" t="s">
        <v>347</v>
      </c>
      <c r="D261">
        <v>260</v>
      </c>
      <c r="G261">
        <v>0</v>
      </c>
    </row>
    <row r="262" spans="1:8" x14ac:dyDescent="0.25">
      <c r="A262" t="b">
        <v>1</v>
      </c>
      <c r="B262">
        <v>65280</v>
      </c>
      <c r="C262" t="s">
        <v>348</v>
      </c>
      <c r="D262">
        <v>261</v>
      </c>
      <c r="G262">
        <v>0</v>
      </c>
    </row>
    <row r="263" spans="1:8" x14ac:dyDescent="0.25">
      <c r="A263" t="b">
        <v>1</v>
      </c>
      <c r="B263">
        <v>65280</v>
      </c>
      <c r="C263" t="s">
        <v>349</v>
      </c>
      <c r="D263">
        <v>262</v>
      </c>
      <c r="G263">
        <v>0</v>
      </c>
    </row>
    <row r="264" spans="1:8" x14ac:dyDescent="0.25">
      <c r="A264" t="b">
        <v>1</v>
      </c>
      <c r="B264">
        <v>65280</v>
      </c>
      <c r="C264" t="s">
        <v>350</v>
      </c>
      <c r="D264">
        <v>263</v>
      </c>
      <c r="G264">
        <v>0</v>
      </c>
    </row>
    <row r="265" spans="1:8" x14ac:dyDescent="0.25">
      <c r="A265" t="b">
        <v>1</v>
      </c>
      <c r="B265">
        <v>65280</v>
      </c>
      <c r="C265" t="s">
        <v>351</v>
      </c>
      <c r="D265">
        <v>264</v>
      </c>
      <c r="G265">
        <v>0</v>
      </c>
    </row>
    <row r="266" spans="1:8" x14ac:dyDescent="0.25">
      <c r="A266" t="b">
        <v>1</v>
      </c>
      <c r="B266">
        <v>255</v>
      </c>
      <c r="C266" t="s">
        <v>352</v>
      </c>
      <c r="D266">
        <v>265</v>
      </c>
      <c r="E266">
        <v>29.59</v>
      </c>
      <c r="G266">
        <v>0</v>
      </c>
    </row>
    <row r="267" spans="1:8" x14ac:dyDescent="0.25">
      <c r="A267" t="b">
        <v>1</v>
      </c>
      <c r="B267">
        <v>255</v>
      </c>
      <c r="C267" t="s">
        <v>353</v>
      </c>
      <c r="D267">
        <v>266</v>
      </c>
      <c r="E267">
        <v>29.27</v>
      </c>
      <c r="G267">
        <v>0</v>
      </c>
    </row>
    <row r="268" spans="1:8" x14ac:dyDescent="0.25">
      <c r="A268" t="b">
        <v>1</v>
      </c>
      <c r="B268">
        <v>255</v>
      </c>
      <c r="C268" t="s">
        <v>354</v>
      </c>
      <c r="D268">
        <v>267</v>
      </c>
      <c r="E268">
        <v>29.63</v>
      </c>
      <c r="G268">
        <v>0</v>
      </c>
    </row>
    <row r="269" spans="1:8" x14ac:dyDescent="0.25">
      <c r="A269" t="b">
        <v>1</v>
      </c>
      <c r="B269">
        <v>255</v>
      </c>
      <c r="C269" t="s">
        <v>355</v>
      </c>
      <c r="D269">
        <v>268</v>
      </c>
      <c r="E269">
        <v>28.63</v>
      </c>
      <c r="G269">
        <v>0</v>
      </c>
    </row>
    <row r="270" spans="1:8" x14ac:dyDescent="0.25">
      <c r="A270" t="b">
        <v>1</v>
      </c>
      <c r="B270">
        <v>255</v>
      </c>
      <c r="C270" t="s">
        <v>356</v>
      </c>
      <c r="D270">
        <v>269</v>
      </c>
      <c r="E270">
        <v>28.63</v>
      </c>
      <c r="G270">
        <v>0</v>
      </c>
    </row>
    <row r="271" spans="1:8" x14ac:dyDescent="0.25">
      <c r="A271" t="b">
        <v>1</v>
      </c>
      <c r="B271">
        <v>255</v>
      </c>
      <c r="C271" t="s">
        <v>357</v>
      </c>
      <c r="D271">
        <v>270</v>
      </c>
      <c r="E271">
        <v>28.68</v>
      </c>
      <c r="G271">
        <v>0</v>
      </c>
    </row>
    <row r="272" spans="1:8" x14ac:dyDescent="0.25">
      <c r="A272" t="b">
        <v>1</v>
      </c>
      <c r="B272">
        <v>255</v>
      </c>
      <c r="C272" t="s">
        <v>358</v>
      </c>
      <c r="D272">
        <v>271</v>
      </c>
      <c r="E272">
        <v>28.28</v>
      </c>
      <c r="G272">
        <v>0</v>
      </c>
    </row>
    <row r="273" spans="1:8" x14ac:dyDescent="0.25">
      <c r="A273" t="b">
        <v>1</v>
      </c>
      <c r="B273">
        <v>255</v>
      </c>
      <c r="C273" t="s">
        <v>359</v>
      </c>
      <c r="D273">
        <v>272</v>
      </c>
      <c r="E273">
        <v>29.75</v>
      </c>
      <c r="G273">
        <v>0</v>
      </c>
    </row>
    <row r="274" spans="1:8" x14ac:dyDescent="0.25">
      <c r="A274" t="b">
        <v>1</v>
      </c>
      <c r="B274">
        <v>255</v>
      </c>
      <c r="C274" t="s">
        <v>360</v>
      </c>
      <c r="D274">
        <v>273</v>
      </c>
      <c r="E274">
        <v>28.14</v>
      </c>
      <c r="G274">
        <v>0</v>
      </c>
    </row>
    <row r="275" spans="1:8" x14ac:dyDescent="0.25">
      <c r="A275" t="b">
        <v>1</v>
      </c>
      <c r="B275">
        <v>255</v>
      </c>
      <c r="C275" t="s">
        <v>361</v>
      </c>
      <c r="D275">
        <v>274</v>
      </c>
      <c r="E275">
        <v>37.020000000000003</v>
      </c>
      <c r="G275">
        <v>0</v>
      </c>
    </row>
    <row r="276" spans="1:8" x14ac:dyDescent="0.25">
      <c r="A276" t="b">
        <v>1</v>
      </c>
      <c r="B276">
        <v>255</v>
      </c>
      <c r="C276" t="s">
        <v>362</v>
      </c>
      <c r="D276">
        <v>275</v>
      </c>
      <c r="E276">
        <v>38.26</v>
      </c>
      <c r="G276">
        <v>0</v>
      </c>
    </row>
    <row r="277" spans="1:8" x14ac:dyDescent="0.25">
      <c r="A277" t="b">
        <v>1</v>
      </c>
      <c r="B277">
        <v>255</v>
      </c>
      <c r="C277" t="s">
        <v>363</v>
      </c>
      <c r="D277">
        <v>276</v>
      </c>
      <c r="E277">
        <v>39.119999999999997</v>
      </c>
      <c r="G277">
        <v>0</v>
      </c>
    </row>
    <row r="278" spans="1:8" x14ac:dyDescent="0.25">
      <c r="A278" t="b">
        <v>1</v>
      </c>
      <c r="B278">
        <v>65280</v>
      </c>
      <c r="C278" t="s">
        <v>364</v>
      </c>
      <c r="D278">
        <v>277</v>
      </c>
      <c r="G278">
        <v>0</v>
      </c>
    </row>
    <row r="279" spans="1:8" x14ac:dyDescent="0.25">
      <c r="A279" t="b">
        <v>1</v>
      </c>
      <c r="B279">
        <v>255</v>
      </c>
      <c r="C279" t="s">
        <v>365</v>
      </c>
      <c r="D279">
        <v>278</v>
      </c>
      <c r="E279">
        <v>37.020000000000003</v>
      </c>
      <c r="G279">
        <v>0</v>
      </c>
    </row>
    <row r="280" spans="1:8" x14ac:dyDescent="0.25">
      <c r="A280" t="b">
        <v>1</v>
      </c>
      <c r="B280">
        <v>255</v>
      </c>
      <c r="C280" t="s">
        <v>366</v>
      </c>
      <c r="D280">
        <v>279</v>
      </c>
      <c r="E280">
        <v>40</v>
      </c>
      <c r="G280">
        <v>0</v>
      </c>
      <c r="H280" t="s">
        <v>267</v>
      </c>
    </row>
    <row r="281" spans="1:8" x14ac:dyDescent="0.25">
      <c r="A281" t="b">
        <v>1</v>
      </c>
      <c r="B281">
        <v>255</v>
      </c>
      <c r="C281" t="s">
        <v>367</v>
      </c>
      <c r="D281">
        <v>280</v>
      </c>
      <c r="E281">
        <v>36.64</v>
      </c>
      <c r="G281">
        <v>0</v>
      </c>
    </row>
    <row r="282" spans="1:8" x14ac:dyDescent="0.25">
      <c r="A282" t="b">
        <v>1</v>
      </c>
      <c r="B282">
        <v>255</v>
      </c>
      <c r="C282" t="s">
        <v>368</v>
      </c>
      <c r="D282">
        <v>281</v>
      </c>
      <c r="E282">
        <v>40</v>
      </c>
      <c r="G282">
        <v>0</v>
      </c>
      <c r="H282" t="s">
        <v>267</v>
      </c>
    </row>
    <row r="283" spans="1:8" x14ac:dyDescent="0.25">
      <c r="A283" t="b">
        <v>1</v>
      </c>
      <c r="B283">
        <v>255</v>
      </c>
      <c r="C283" t="s">
        <v>369</v>
      </c>
      <c r="D283">
        <v>282</v>
      </c>
      <c r="E283">
        <v>40</v>
      </c>
      <c r="G283">
        <v>0</v>
      </c>
      <c r="H283" t="s">
        <v>267</v>
      </c>
    </row>
    <row r="284" spans="1:8" x14ac:dyDescent="0.25">
      <c r="A284" t="b">
        <v>1</v>
      </c>
      <c r="B284">
        <v>65280</v>
      </c>
      <c r="C284" t="s">
        <v>370</v>
      </c>
      <c r="D284">
        <v>283</v>
      </c>
      <c r="G284">
        <v>0</v>
      </c>
    </row>
    <row r="285" spans="1:8" x14ac:dyDescent="0.25">
      <c r="A285" t="b">
        <v>1</v>
      </c>
      <c r="B285">
        <v>65280</v>
      </c>
      <c r="C285" t="s">
        <v>371</v>
      </c>
      <c r="D285">
        <v>284</v>
      </c>
      <c r="G285">
        <v>0</v>
      </c>
    </row>
    <row r="286" spans="1:8" x14ac:dyDescent="0.25">
      <c r="A286" t="b">
        <v>1</v>
      </c>
      <c r="B286">
        <v>65280</v>
      </c>
      <c r="C286" t="s">
        <v>372</v>
      </c>
      <c r="D286">
        <v>285</v>
      </c>
      <c r="G286">
        <v>0</v>
      </c>
    </row>
    <row r="287" spans="1:8" x14ac:dyDescent="0.25">
      <c r="A287" t="b">
        <v>1</v>
      </c>
      <c r="B287">
        <v>65280</v>
      </c>
      <c r="C287" t="s">
        <v>373</v>
      </c>
      <c r="D287">
        <v>286</v>
      </c>
      <c r="G287">
        <v>0</v>
      </c>
    </row>
    <row r="288" spans="1:8" x14ac:dyDescent="0.25">
      <c r="A288" t="b">
        <v>1</v>
      </c>
      <c r="B288">
        <v>65280</v>
      </c>
      <c r="C288" t="s">
        <v>374</v>
      </c>
      <c r="D288">
        <v>287</v>
      </c>
      <c r="G288">
        <v>0</v>
      </c>
    </row>
    <row r="289" spans="1:7" x14ac:dyDescent="0.25">
      <c r="A289" t="b">
        <v>1</v>
      </c>
      <c r="B289">
        <v>65280</v>
      </c>
      <c r="C289" t="s">
        <v>375</v>
      </c>
      <c r="D289">
        <v>288</v>
      </c>
      <c r="G289">
        <v>0</v>
      </c>
    </row>
    <row r="290" spans="1:7" x14ac:dyDescent="0.25">
      <c r="A290" t="b">
        <v>1</v>
      </c>
      <c r="B290">
        <v>255</v>
      </c>
      <c r="C290" t="s">
        <v>376</v>
      </c>
      <c r="D290">
        <v>289</v>
      </c>
      <c r="E290">
        <v>23.3</v>
      </c>
      <c r="G290">
        <v>0</v>
      </c>
    </row>
    <row r="291" spans="1:7" x14ac:dyDescent="0.25">
      <c r="A291" t="b">
        <v>1</v>
      </c>
      <c r="B291">
        <v>255</v>
      </c>
      <c r="C291" t="s">
        <v>377</v>
      </c>
      <c r="D291">
        <v>290</v>
      </c>
      <c r="E291">
        <v>23.13</v>
      </c>
      <c r="G291">
        <v>0</v>
      </c>
    </row>
    <row r="292" spans="1:7" x14ac:dyDescent="0.25">
      <c r="A292" t="b">
        <v>1</v>
      </c>
      <c r="B292">
        <v>255</v>
      </c>
      <c r="C292" t="s">
        <v>378</v>
      </c>
      <c r="D292">
        <v>291</v>
      </c>
      <c r="E292">
        <v>23.19</v>
      </c>
      <c r="G292">
        <v>0</v>
      </c>
    </row>
    <row r="293" spans="1:7" x14ac:dyDescent="0.25">
      <c r="A293" t="b">
        <v>1</v>
      </c>
      <c r="B293">
        <v>255</v>
      </c>
      <c r="C293" t="s">
        <v>379</v>
      </c>
      <c r="D293">
        <v>292</v>
      </c>
      <c r="E293">
        <v>23.35</v>
      </c>
      <c r="G293">
        <v>0</v>
      </c>
    </row>
    <row r="294" spans="1:7" x14ac:dyDescent="0.25">
      <c r="A294" t="b">
        <v>1</v>
      </c>
      <c r="B294">
        <v>255</v>
      </c>
      <c r="C294" t="s">
        <v>380</v>
      </c>
      <c r="D294">
        <v>293</v>
      </c>
      <c r="E294">
        <v>23.25</v>
      </c>
      <c r="G294">
        <v>0</v>
      </c>
    </row>
    <row r="295" spans="1:7" x14ac:dyDescent="0.25">
      <c r="A295" t="b">
        <v>1</v>
      </c>
      <c r="B295">
        <v>255</v>
      </c>
      <c r="C295" t="s">
        <v>381</v>
      </c>
      <c r="D295">
        <v>294</v>
      </c>
      <c r="E295">
        <v>23.19</v>
      </c>
      <c r="G295">
        <v>0</v>
      </c>
    </row>
    <row r="296" spans="1:7" x14ac:dyDescent="0.25">
      <c r="A296" t="b">
        <v>1</v>
      </c>
      <c r="B296">
        <v>255</v>
      </c>
      <c r="C296" t="s">
        <v>382</v>
      </c>
      <c r="D296">
        <v>295</v>
      </c>
      <c r="E296">
        <v>22.51</v>
      </c>
      <c r="G296">
        <v>0</v>
      </c>
    </row>
    <row r="297" spans="1:7" x14ac:dyDescent="0.25">
      <c r="A297" t="b">
        <v>1</v>
      </c>
      <c r="B297">
        <v>255</v>
      </c>
      <c r="C297" t="s">
        <v>383</v>
      </c>
      <c r="D297">
        <v>296</v>
      </c>
      <c r="E297">
        <v>22.58</v>
      </c>
      <c r="G297">
        <v>0</v>
      </c>
    </row>
    <row r="298" spans="1:7" x14ac:dyDescent="0.25">
      <c r="A298" t="b">
        <v>1</v>
      </c>
      <c r="B298">
        <v>255</v>
      </c>
      <c r="C298" t="s">
        <v>384</v>
      </c>
      <c r="D298">
        <v>297</v>
      </c>
      <c r="E298">
        <v>22.54</v>
      </c>
      <c r="G298">
        <v>0</v>
      </c>
    </row>
    <row r="299" spans="1:7" x14ac:dyDescent="0.25">
      <c r="A299" t="b">
        <v>1</v>
      </c>
      <c r="B299">
        <v>255</v>
      </c>
      <c r="C299" t="s">
        <v>385</v>
      </c>
      <c r="D299">
        <v>298</v>
      </c>
      <c r="E299">
        <v>19.690000000000001</v>
      </c>
      <c r="G299">
        <v>0</v>
      </c>
    </row>
    <row r="300" spans="1:7" x14ac:dyDescent="0.25">
      <c r="A300" t="b">
        <v>1</v>
      </c>
      <c r="B300">
        <v>255</v>
      </c>
      <c r="C300" t="s">
        <v>386</v>
      </c>
      <c r="D300">
        <v>299</v>
      </c>
      <c r="E300">
        <v>19.899999999999999</v>
      </c>
      <c r="G300">
        <v>0</v>
      </c>
    </row>
    <row r="301" spans="1:7" x14ac:dyDescent="0.25">
      <c r="A301" t="b">
        <v>1</v>
      </c>
      <c r="B301">
        <v>255</v>
      </c>
      <c r="C301" t="s">
        <v>387</v>
      </c>
      <c r="D301">
        <v>300</v>
      </c>
      <c r="E301">
        <v>19.760000000000002</v>
      </c>
      <c r="G301">
        <v>0</v>
      </c>
    </row>
    <row r="302" spans="1:7" x14ac:dyDescent="0.25">
      <c r="A302" t="b">
        <v>1</v>
      </c>
      <c r="B302">
        <v>255</v>
      </c>
      <c r="C302" t="s">
        <v>388</v>
      </c>
      <c r="D302">
        <v>301</v>
      </c>
      <c r="E302">
        <v>21.47</v>
      </c>
      <c r="G302">
        <v>0</v>
      </c>
    </row>
    <row r="303" spans="1:7" x14ac:dyDescent="0.25">
      <c r="A303" t="b">
        <v>1</v>
      </c>
      <c r="B303">
        <v>255</v>
      </c>
      <c r="C303" t="s">
        <v>389</v>
      </c>
      <c r="D303">
        <v>302</v>
      </c>
      <c r="E303">
        <v>21.49</v>
      </c>
      <c r="G303">
        <v>0</v>
      </c>
    </row>
    <row r="304" spans="1:7" x14ac:dyDescent="0.25">
      <c r="A304" t="b">
        <v>1</v>
      </c>
      <c r="B304">
        <v>255</v>
      </c>
      <c r="C304" t="s">
        <v>390</v>
      </c>
      <c r="D304">
        <v>303</v>
      </c>
      <c r="E304">
        <v>21.43</v>
      </c>
      <c r="G304">
        <v>0</v>
      </c>
    </row>
    <row r="305" spans="1:7" x14ac:dyDescent="0.25">
      <c r="A305" t="b">
        <v>1</v>
      </c>
      <c r="B305">
        <v>255</v>
      </c>
      <c r="C305" t="s">
        <v>391</v>
      </c>
      <c r="D305">
        <v>304</v>
      </c>
      <c r="E305">
        <v>23.02</v>
      </c>
      <c r="G305">
        <v>0</v>
      </c>
    </row>
    <row r="306" spans="1:7" x14ac:dyDescent="0.25">
      <c r="A306" t="b">
        <v>1</v>
      </c>
      <c r="B306">
        <v>255</v>
      </c>
      <c r="C306" t="s">
        <v>392</v>
      </c>
      <c r="D306">
        <v>305</v>
      </c>
      <c r="E306">
        <v>23.07</v>
      </c>
      <c r="G306">
        <v>0</v>
      </c>
    </row>
    <row r="307" spans="1:7" x14ac:dyDescent="0.25">
      <c r="A307" t="b">
        <v>1</v>
      </c>
      <c r="B307">
        <v>255</v>
      </c>
      <c r="C307" t="s">
        <v>393</v>
      </c>
      <c r="D307">
        <v>306</v>
      </c>
      <c r="E307">
        <v>23.34</v>
      </c>
      <c r="G307">
        <v>0</v>
      </c>
    </row>
    <row r="308" spans="1:7" x14ac:dyDescent="0.25">
      <c r="A308" t="b">
        <v>1</v>
      </c>
      <c r="B308">
        <v>65280</v>
      </c>
      <c r="C308" t="s">
        <v>394</v>
      </c>
      <c r="D308">
        <v>307</v>
      </c>
      <c r="G308">
        <v>0</v>
      </c>
    </row>
    <row r="309" spans="1:7" x14ac:dyDescent="0.25">
      <c r="A309" t="b">
        <v>1</v>
      </c>
      <c r="B309">
        <v>65280</v>
      </c>
      <c r="C309" t="s">
        <v>395</v>
      </c>
      <c r="D309">
        <v>308</v>
      </c>
      <c r="G309">
        <v>0</v>
      </c>
    </row>
    <row r="310" spans="1:7" x14ac:dyDescent="0.25">
      <c r="A310" t="b">
        <v>1</v>
      </c>
      <c r="B310">
        <v>65280</v>
      </c>
      <c r="C310" t="s">
        <v>396</v>
      </c>
      <c r="D310">
        <v>309</v>
      </c>
      <c r="G310">
        <v>0</v>
      </c>
    </row>
    <row r="311" spans="1:7" x14ac:dyDescent="0.25">
      <c r="A311" t="b">
        <v>1</v>
      </c>
      <c r="B311">
        <v>65280</v>
      </c>
      <c r="C311" t="s">
        <v>397</v>
      </c>
      <c r="D311">
        <v>310</v>
      </c>
      <c r="G311">
        <v>0</v>
      </c>
    </row>
    <row r="312" spans="1:7" x14ac:dyDescent="0.25">
      <c r="A312" t="b">
        <v>1</v>
      </c>
      <c r="B312">
        <v>65280</v>
      </c>
      <c r="C312" t="s">
        <v>398</v>
      </c>
      <c r="D312">
        <v>311</v>
      </c>
      <c r="G312">
        <v>0</v>
      </c>
    </row>
    <row r="313" spans="1:7" x14ac:dyDescent="0.25">
      <c r="A313" t="b">
        <v>1</v>
      </c>
      <c r="B313">
        <v>65280</v>
      </c>
      <c r="C313" t="s">
        <v>399</v>
      </c>
      <c r="D313">
        <v>312</v>
      </c>
      <c r="G313">
        <v>0</v>
      </c>
    </row>
    <row r="314" spans="1:7" x14ac:dyDescent="0.25">
      <c r="A314" t="b">
        <v>1</v>
      </c>
      <c r="B314">
        <v>65280</v>
      </c>
      <c r="C314" t="s">
        <v>400</v>
      </c>
      <c r="D314">
        <v>313</v>
      </c>
      <c r="G314">
        <v>0</v>
      </c>
    </row>
    <row r="315" spans="1:7" x14ac:dyDescent="0.25">
      <c r="A315" t="b">
        <v>1</v>
      </c>
      <c r="B315">
        <v>65280</v>
      </c>
      <c r="C315" t="s">
        <v>401</v>
      </c>
      <c r="D315">
        <v>314</v>
      </c>
      <c r="G315">
        <v>0</v>
      </c>
    </row>
    <row r="316" spans="1:7" x14ac:dyDescent="0.25">
      <c r="A316" t="b">
        <v>1</v>
      </c>
      <c r="B316">
        <v>65280</v>
      </c>
      <c r="C316" t="s">
        <v>402</v>
      </c>
      <c r="D316">
        <v>315</v>
      </c>
      <c r="G316">
        <v>0</v>
      </c>
    </row>
    <row r="317" spans="1:7" x14ac:dyDescent="0.25">
      <c r="A317" t="b">
        <v>1</v>
      </c>
      <c r="B317">
        <v>65280</v>
      </c>
      <c r="C317" t="s">
        <v>403</v>
      </c>
      <c r="D317">
        <v>316</v>
      </c>
      <c r="G317">
        <v>0</v>
      </c>
    </row>
    <row r="318" spans="1:7" x14ac:dyDescent="0.25">
      <c r="A318" t="b">
        <v>1</v>
      </c>
      <c r="B318">
        <v>65280</v>
      </c>
      <c r="C318" t="s">
        <v>404</v>
      </c>
      <c r="D318">
        <v>317</v>
      </c>
      <c r="G318">
        <v>0</v>
      </c>
    </row>
    <row r="319" spans="1:7" x14ac:dyDescent="0.25">
      <c r="A319" t="b">
        <v>1</v>
      </c>
      <c r="B319">
        <v>65280</v>
      </c>
      <c r="C319" t="s">
        <v>405</v>
      </c>
      <c r="D319">
        <v>318</v>
      </c>
      <c r="G319">
        <v>0</v>
      </c>
    </row>
    <row r="320" spans="1:7" x14ac:dyDescent="0.25">
      <c r="A320" t="b">
        <v>1</v>
      </c>
      <c r="B320">
        <v>65280</v>
      </c>
      <c r="C320" t="s">
        <v>406</v>
      </c>
      <c r="D320">
        <v>319</v>
      </c>
      <c r="G320">
        <v>0</v>
      </c>
    </row>
    <row r="321" spans="1:7" x14ac:dyDescent="0.25">
      <c r="A321" t="b">
        <v>1</v>
      </c>
      <c r="B321">
        <v>65280</v>
      </c>
      <c r="C321" t="s">
        <v>407</v>
      </c>
      <c r="D321">
        <v>320</v>
      </c>
      <c r="G321">
        <v>0</v>
      </c>
    </row>
    <row r="322" spans="1:7" x14ac:dyDescent="0.25">
      <c r="A322" t="b">
        <v>1</v>
      </c>
      <c r="B322">
        <v>65280</v>
      </c>
      <c r="C322" t="s">
        <v>408</v>
      </c>
      <c r="D322">
        <v>321</v>
      </c>
      <c r="G322">
        <v>0</v>
      </c>
    </row>
    <row r="323" spans="1:7" x14ac:dyDescent="0.25">
      <c r="A323" t="b">
        <v>1</v>
      </c>
      <c r="B323">
        <v>65280</v>
      </c>
      <c r="C323" t="s">
        <v>409</v>
      </c>
      <c r="D323">
        <v>322</v>
      </c>
      <c r="G323">
        <v>0</v>
      </c>
    </row>
    <row r="324" spans="1:7" x14ac:dyDescent="0.25">
      <c r="A324" t="b">
        <v>1</v>
      </c>
      <c r="B324">
        <v>65280</v>
      </c>
      <c r="C324" t="s">
        <v>410</v>
      </c>
      <c r="D324">
        <v>323</v>
      </c>
      <c r="G324">
        <v>0</v>
      </c>
    </row>
    <row r="325" spans="1:7" x14ac:dyDescent="0.25">
      <c r="A325" t="b">
        <v>1</v>
      </c>
      <c r="B325">
        <v>65280</v>
      </c>
      <c r="C325" t="s">
        <v>411</v>
      </c>
      <c r="D325">
        <v>324</v>
      </c>
      <c r="G325">
        <v>0</v>
      </c>
    </row>
    <row r="326" spans="1:7" x14ac:dyDescent="0.25">
      <c r="A326" t="b">
        <v>1</v>
      </c>
      <c r="B326">
        <v>65280</v>
      </c>
      <c r="C326" t="s">
        <v>412</v>
      </c>
      <c r="D326">
        <v>325</v>
      </c>
      <c r="G326">
        <v>0</v>
      </c>
    </row>
    <row r="327" spans="1:7" x14ac:dyDescent="0.25">
      <c r="A327" t="b">
        <v>1</v>
      </c>
      <c r="B327">
        <v>65280</v>
      </c>
      <c r="C327" t="s">
        <v>413</v>
      </c>
      <c r="D327">
        <v>326</v>
      </c>
      <c r="G327">
        <v>0</v>
      </c>
    </row>
    <row r="328" spans="1:7" x14ac:dyDescent="0.25">
      <c r="A328" t="b">
        <v>1</v>
      </c>
      <c r="B328">
        <v>65280</v>
      </c>
      <c r="C328" t="s">
        <v>414</v>
      </c>
      <c r="D328">
        <v>327</v>
      </c>
      <c r="G328">
        <v>0</v>
      </c>
    </row>
    <row r="329" spans="1:7" x14ac:dyDescent="0.25">
      <c r="A329" t="b">
        <v>1</v>
      </c>
      <c r="B329">
        <v>65280</v>
      </c>
      <c r="C329" t="s">
        <v>415</v>
      </c>
      <c r="D329">
        <v>328</v>
      </c>
      <c r="G329">
        <v>0</v>
      </c>
    </row>
    <row r="330" spans="1:7" x14ac:dyDescent="0.25">
      <c r="A330" t="b">
        <v>1</v>
      </c>
      <c r="B330">
        <v>65280</v>
      </c>
      <c r="C330" t="s">
        <v>416</v>
      </c>
      <c r="D330">
        <v>329</v>
      </c>
      <c r="G330">
        <v>0</v>
      </c>
    </row>
    <row r="331" spans="1:7" x14ac:dyDescent="0.25">
      <c r="A331" t="b">
        <v>1</v>
      </c>
      <c r="B331">
        <v>65280</v>
      </c>
      <c r="C331" t="s">
        <v>417</v>
      </c>
      <c r="D331">
        <v>330</v>
      </c>
      <c r="G331">
        <v>0</v>
      </c>
    </row>
    <row r="332" spans="1:7" x14ac:dyDescent="0.25">
      <c r="A332" t="b">
        <v>1</v>
      </c>
      <c r="B332">
        <v>65280</v>
      </c>
      <c r="C332" t="s">
        <v>418</v>
      </c>
      <c r="D332">
        <v>331</v>
      </c>
      <c r="G332">
        <v>0</v>
      </c>
    </row>
    <row r="333" spans="1:7" x14ac:dyDescent="0.25">
      <c r="A333" t="b">
        <v>1</v>
      </c>
      <c r="B333">
        <v>65280</v>
      </c>
      <c r="C333" t="s">
        <v>419</v>
      </c>
      <c r="D333">
        <v>332</v>
      </c>
      <c r="G333">
        <v>0</v>
      </c>
    </row>
    <row r="334" spans="1:7" x14ac:dyDescent="0.25">
      <c r="A334" t="b">
        <v>1</v>
      </c>
      <c r="B334">
        <v>65280</v>
      </c>
      <c r="C334" t="s">
        <v>420</v>
      </c>
      <c r="D334">
        <v>333</v>
      </c>
      <c r="G334">
        <v>0</v>
      </c>
    </row>
    <row r="335" spans="1:7" x14ac:dyDescent="0.25">
      <c r="A335" t="b">
        <v>1</v>
      </c>
      <c r="B335">
        <v>65280</v>
      </c>
      <c r="C335" t="s">
        <v>421</v>
      </c>
      <c r="D335">
        <v>334</v>
      </c>
      <c r="G335">
        <v>0</v>
      </c>
    </row>
    <row r="336" spans="1:7" x14ac:dyDescent="0.25">
      <c r="A336" t="b">
        <v>1</v>
      </c>
      <c r="B336">
        <v>65280</v>
      </c>
      <c r="C336" t="s">
        <v>422</v>
      </c>
      <c r="D336">
        <v>335</v>
      </c>
      <c r="G336">
        <v>0</v>
      </c>
    </row>
    <row r="337" spans="1:7" x14ac:dyDescent="0.25">
      <c r="A337" t="b">
        <v>1</v>
      </c>
      <c r="B337">
        <v>65280</v>
      </c>
      <c r="C337" t="s">
        <v>423</v>
      </c>
      <c r="D337">
        <v>336</v>
      </c>
      <c r="G337">
        <v>0</v>
      </c>
    </row>
    <row r="338" spans="1:7" x14ac:dyDescent="0.25">
      <c r="A338" t="b">
        <v>1</v>
      </c>
      <c r="B338">
        <v>65280</v>
      </c>
      <c r="C338" t="s">
        <v>424</v>
      </c>
      <c r="D338">
        <v>337</v>
      </c>
      <c r="G338">
        <v>0</v>
      </c>
    </row>
    <row r="339" spans="1:7" x14ac:dyDescent="0.25">
      <c r="A339" t="b">
        <v>1</v>
      </c>
      <c r="B339">
        <v>65280</v>
      </c>
      <c r="C339" t="s">
        <v>425</v>
      </c>
      <c r="D339">
        <v>338</v>
      </c>
      <c r="G339">
        <v>0</v>
      </c>
    </row>
    <row r="340" spans="1:7" x14ac:dyDescent="0.25">
      <c r="A340" t="b">
        <v>1</v>
      </c>
      <c r="B340">
        <v>65280</v>
      </c>
      <c r="C340" t="s">
        <v>426</v>
      </c>
      <c r="D340">
        <v>339</v>
      </c>
      <c r="G340">
        <v>0</v>
      </c>
    </row>
    <row r="341" spans="1:7" x14ac:dyDescent="0.25">
      <c r="A341" t="b">
        <v>1</v>
      </c>
      <c r="B341">
        <v>65280</v>
      </c>
      <c r="C341" t="s">
        <v>427</v>
      </c>
      <c r="D341">
        <v>340</v>
      </c>
      <c r="G341">
        <v>0</v>
      </c>
    </row>
    <row r="342" spans="1:7" x14ac:dyDescent="0.25">
      <c r="A342" t="b">
        <v>1</v>
      </c>
      <c r="B342">
        <v>65280</v>
      </c>
      <c r="C342" t="s">
        <v>428</v>
      </c>
      <c r="D342">
        <v>341</v>
      </c>
      <c r="G342">
        <v>0</v>
      </c>
    </row>
    <row r="343" spans="1:7" x14ac:dyDescent="0.25">
      <c r="A343" t="b">
        <v>1</v>
      </c>
      <c r="B343">
        <v>65280</v>
      </c>
      <c r="C343" t="s">
        <v>429</v>
      </c>
      <c r="D343">
        <v>342</v>
      </c>
      <c r="G343">
        <v>0</v>
      </c>
    </row>
    <row r="344" spans="1:7" x14ac:dyDescent="0.25">
      <c r="A344" t="b">
        <v>1</v>
      </c>
      <c r="B344">
        <v>65280</v>
      </c>
      <c r="C344" t="s">
        <v>430</v>
      </c>
      <c r="D344">
        <v>343</v>
      </c>
      <c r="G344">
        <v>0</v>
      </c>
    </row>
    <row r="345" spans="1:7" x14ac:dyDescent="0.25">
      <c r="A345" t="b">
        <v>1</v>
      </c>
      <c r="B345">
        <v>65280</v>
      </c>
      <c r="C345" t="s">
        <v>431</v>
      </c>
      <c r="D345">
        <v>344</v>
      </c>
      <c r="G345">
        <v>0</v>
      </c>
    </row>
    <row r="346" spans="1:7" x14ac:dyDescent="0.25">
      <c r="A346" t="b">
        <v>1</v>
      </c>
      <c r="B346">
        <v>65280</v>
      </c>
      <c r="C346" t="s">
        <v>432</v>
      </c>
      <c r="D346">
        <v>345</v>
      </c>
      <c r="G346">
        <v>0</v>
      </c>
    </row>
    <row r="347" spans="1:7" x14ac:dyDescent="0.25">
      <c r="A347" t="b">
        <v>1</v>
      </c>
      <c r="B347">
        <v>65280</v>
      </c>
      <c r="C347" t="s">
        <v>433</v>
      </c>
      <c r="D347">
        <v>346</v>
      </c>
      <c r="G347">
        <v>0</v>
      </c>
    </row>
    <row r="348" spans="1:7" x14ac:dyDescent="0.25">
      <c r="A348" t="b">
        <v>1</v>
      </c>
      <c r="B348">
        <v>65280</v>
      </c>
      <c r="C348" t="s">
        <v>434</v>
      </c>
      <c r="D348">
        <v>347</v>
      </c>
      <c r="G348">
        <v>0</v>
      </c>
    </row>
    <row r="349" spans="1:7" x14ac:dyDescent="0.25">
      <c r="A349" t="b">
        <v>1</v>
      </c>
      <c r="B349">
        <v>65280</v>
      </c>
      <c r="C349" t="s">
        <v>435</v>
      </c>
      <c r="D349">
        <v>348</v>
      </c>
      <c r="G349">
        <v>0</v>
      </c>
    </row>
    <row r="350" spans="1:7" x14ac:dyDescent="0.25">
      <c r="A350" t="b">
        <v>1</v>
      </c>
      <c r="B350">
        <v>65280</v>
      </c>
      <c r="C350" t="s">
        <v>436</v>
      </c>
      <c r="D350">
        <v>349</v>
      </c>
      <c r="G350">
        <v>0</v>
      </c>
    </row>
    <row r="351" spans="1:7" x14ac:dyDescent="0.25">
      <c r="A351" t="b">
        <v>1</v>
      </c>
      <c r="B351">
        <v>65280</v>
      </c>
      <c r="C351" t="s">
        <v>437</v>
      </c>
      <c r="D351">
        <v>350</v>
      </c>
      <c r="G351">
        <v>0</v>
      </c>
    </row>
    <row r="352" spans="1:7" x14ac:dyDescent="0.25">
      <c r="A352" t="b">
        <v>1</v>
      </c>
      <c r="B352">
        <v>65280</v>
      </c>
      <c r="C352" t="s">
        <v>438</v>
      </c>
      <c r="D352">
        <v>351</v>
      </c>
      <c r="G352">
        <v>0</v>
      </c>
    </row>
    <row r="353" spans="1:7" x14ac:dyDescent="0.25">
      <c r="A353" t="b">
        <v>1</v>
      </c>
      <c r="B353">
        <v>65280</v>
      </c>
      <c r="C353" t="s">
        <v>439</v>
      </c>
      <c r="D353">
        <v>352</v>
      </c>
      <c r="G353">
        <v>0</v>
      </c>
    </row>
    <row r="354" spans="1:7" x14ac:dyDescent="0.25">
      <c r="A354" t="b">
        <v>1</v>
      </c>
      <c r="B354">
        <v>65280</v>
      </c>
      <c r="C354" t="s">
        <v>440</v>
      </c>
      <c r="D354">
        <v>353</v>
      </c>
      <c r="G354">
        <v>0</v>
      </c>
    </row>
    <row r="355" spans="1:7" x14ac:dyDescent="0.25">
      <c r="A355" t="b">
        <v>1</v>
      </c>
      <c r="B355">
        <v>65280</v>
      </c>
      <c r="C355" t="s">
        <v>441</v>
      </c>
      <c r="D355">
        <v>354</v>
      </c>
      <c r="G355">
        <v>0</v>
      </c>
    </row>
    <row r="356" spans="1:7" x14ac:dyDescent="0.25">
      <c r="A356" t="b">
        <v>1</v>
      </c>
      <c r="B356">
        <v>65280</v>
      </c>
      <c r="C356" t="s">
        <v>442</v>
      </c>
      <c r="D356">
        <v>355</v>
      </c>
      <c r="G356">
        <v>0</v>
      </c>
    </row>
    <row r="357" spans="1:7" x14ac:dyDescent="0.25">
      <c r="A357" t="b">
        <v>1</v>
      </c>
      <c r="B357">
        <v>65280</v>
      </c>
      <c r="C357" t="s">
        <v>443</v>
      </c>
      <c r="D357">
        <v>356</v>
      </c>
      <c r="G357">
        <v>0</v>
      </c>
    </row>
    <row r="358" spans="1:7" x14ac:dyDescent="0.25">
      <c r="A358" t="b">
        <v>1</v>
      </c>
      <c r="B358">
        <v>65280</v>
      </c>
      <c r="C358" t="s">
        <v>444</v>
      </c>
      <c r="D358">
        <v>357</v>
      </c>
      <c r="G358">
        <v>0</v>
      </c>
    </row>
    <row r="359" spans="1:7" x14ac:dyDescent="0.25">
      <c r="A359" t="b">
        <v>1</v>
      </c>
      <c r="B359">
        <v>65280</v>
      </c>
      <c r="C359" t="s">
        <v>445</v>
      </c>
      <c r="D359">
        <v>358</v>
      </c>
      <c r="G359">
        <v>0</v>
      </c>
    </row>
    <row r="360" spans="1:7" x14ac:dyDescent="0.25">
      <c r="A360" t="b">
        <v>1</v>
      </c>
      <c r="B360">
        <v>65280</v>
      </c>
      <c r="C360" t="s">
        <v>446</v>
      </c>
      <c r="D360">
        <v>359</v>
      </c>
      <c r="G360">
        <v>0</v>
      </c>
    </row>
    <row r="361" spans="1:7" x14ac:dyDescent="0.25">
      <c r="A361" t="b">
        <v>1</v>
      </c>
      <c r="B361">
        <v>65280</v>
      </c>
      <c r="C361" t="s">
        <v>447</v>
      </c>
      <c r="D361">
        <v>360</v>
      </c>
      <c r="G361">
        <v>0</v>
      </c>
    </row>
    <row r="362" spans="1:7" x14ac:dyDescent="0.25">
      <c r="A362" t="b">
        <v>1</v>
      </c>
      <c r="B362">
        <v>65280</v>
      </c>
      <c r="C362" t="s">
        <v>448</v>
      </c>
      <c r="D362">
        <v>361</v>
      </c>
      <c r="G362">
        <v>0</v>
      </c>
    </row>
    <row r="363" spans="1:7" x14ac:dyDescent="0.25">
      <c r="A363" t="b">
        <v>1</v>
      </c>
      <c r="B363">
        <v>65280</v>
      </c>
      <c r="C363" t="s">
        <v>449</v>
      </c>
      <c r="D363">
        <v>362</v>
      </c>
      <c r="G363">
        <v>0</v>
      </c>
    </row>
    <row r="364" spans="1:7" x14ac:dyDescent="0.25">
      <c r="A364" t="b">
        <v>1</v>
      </c>
      <c r="B364">
        <v>65280</v>
      </c>
      <c r="C364" t="s">
        <v>450</v>
      </c>
      <c r="D364">
        <v>363</v>
      </c>
      <c r="G364">
        <v>0</v>
      </c>
    </row>
    <row r="365" spans="1:7" x14ac:dyDescent="0.25">
      <c r="A365" t="b">
        <v>1</v>
      </c>
      <c r="B365">
        <v>65280</v>
      </c>
      <c r="C365" t="s">
        <v>451</v>
      </c>
      <c r="D365">
        <v>364</v>
      </c>
      <c r="G365">
        <v>0</v>
      </c>
    </row>
    <row r="366" spans="1:7" x14ac:dyDescent="0.25">
      <c r="A366" t="b">
        <v>1</v>
      </c>
      <c r="B366">
        <v>65280</v>
      </c>
      <c r="C366" t="s">
        <v>452</v>
      </c>
      <c r="D366">
        <v>365</v>
      </c>
      <c r="G366">
        <v>0</v>
      </c>
    </row>
    <row r="367" spans="1:7" x14ac:dyDescent="0.25">
      <c r="A367" t="b">
        <v>1</v>
      </c>
      <c r="B367">
        <v>65280</v>
      </c>
      <c r="C367" t="s">
        <v>453</v>
      </c>
      <c r="D367">
        <v>366</v>
      </c>
      <c r="G367">
        <v>0</v>
      </c>
    </row>
    <row r="368" spans="1:7" x14ac:dyDescent="0.25">
      <c r="A368" t="b">
        <v>1</v>
      </c>
      <c r="B368">
        <v>65280</v>
      </c>
      <c r="C368" t="s">
        <v>454</v>
      </c>
      <c r="D368">
        <v>367</v>
      </c>
      <c r="G368">
        <v>0</v>
      </c>
    </row>
    <row r="369" spans="1:7" x14ac:dyDescent="0.25">
      <c r="A369" t="b">
        <v>1</v>
      </c>
      <c r="B369">
        <v>65280</v>
      </c>
      <c r="C369" t="s">
        <v>455</v>
      </c>
      <c r="D369">
        <v>368</v>
      </c>
      <c r="G369">
        <v>0</v>
      </c>
    </row>
    <row r="370" spans="1:7" x14ac:dyDescent="0.25">
      <c r="A370" t="b">
        <v>1</v>
      </c>
      <c r="B370">
        <v>65280</v>
      </c>
      <c r="C370" t="s">
        <v>456</v>
      </c>
      <c r="D370">
        <v>369</v>
      </c>
      <c r="G370">
        <v>0</v>
      </c>
    </row>
    <row r="371" spans="1:7" x14ac:dyDescent="0.25">
      <c r="A371" t="b">
        <v>1</v>
      </c>
      <c r="B371">
        <v>65280</v>
      </c>
      <c r="C371" t="s">
        <v>457</v>
      </c>
      <c r="D371">
        <v>370</v>
      </c>
      <c r="G371">
        <v>0</v>
      </c>
    </row>
    <row r="372" spans="1:7" x14ac:dyDescent="0.25">
      <c r="A372" t="b">
        <v>1</v>
      </c>
      <c r="B372">
        <v>65280</v>
      </c>
      <c r="C372" t="s">
        <v>458</v>
      </c>
      <c r="D372">
        <v>371</v>
      </c>
      <c r="G372">
        <v>0</v>
      </c>
    </row>
    <row r="373" spans="1:7" x14ac:dyDescent="0.25">
      <c r="A373" t="b">
        <v>1</v>
      </c>
      <c r="B373">
        <v>65280</v>
      </c>
      <c r="C373" t="s">
        <v>459</v>
      </c>
      <c r="D373">
        <v>372</v>
      </c>
      <c r="G373">
        <v>0</v>
      </c>
    </row>
    <row r="374" spans="1:7" x14ac:dyDescent="0.25">
      <c r="A374" t="b">
        <v>1</v>
      </c>
      <c r="B374">
        <v>65280</v>
      </c>
      <c r="C374" t="s">
        <v>460</v>
      </c>
      <c r="D374">
        <v>373</v>
      </c>
      <c r="G374">
        <v>0</v>
      </c>
    </row>
    <row r="375" spans="1:7" x14ac:dyDescent="0.25">
      <c r="A375" t="b">
        <v>1</v>
      </c>
      <c r="B375">
        <v>65280</v>
      </c>
      <c r="C375" t="s">
        <v>461</v>
      </c>
      <c r="D375">
        <v>374</v>
      </c>
      <c r="G375">
        <v>0</v>
      </c>
    </row>
    <row r="376" spans="1:7" x14ac:dyDescent="0.25">
      <c r="A376" t="b">
        <v>1</v>
      </c>
      <c r="B376">
        <v>65280</v>
      </c>
      <c r="C376" t="s">
        <v>462</v>
      </c>
      <c r="D376">
        <v>375</v>
      </c>
      <c r="G376">
        <v>0</v>
      </c>
    </row>
    <row r="377" spans="1:7" x14ac:dyDescent="0.25">
      <c r="A377" t="b">
        <v>1</v>
      </c>
      <c r="B377">
        <v>65280</v>
      </c>
      <c r="C377" t="s">
        <v>463</v>
      </c>
      <c r="D377">
        <v>376</v>
      </c>
      <c r="G377">
        <v>0</v>
      </c>
    </row>
    <row r="378" spans="1:7" x14ac:dyDescent="0.25">
      <c r="A378" t="b">
        <v>1</v>
      </c>
      <c r="B378">
        <v>65280</v>
      </c>
      <c r="C378" t="s">
        <v>464</v>
      </c>
      <c r="D378">
        <v>377</v>
      </c>
      <c r="G378">
        <v>0</v>
      </c>
    </row>
    <row r="379" spans="1:7" x14ac:dyDescent="0.25">
      <c r="A379" t="b">
        <v>1</v>
      </c>
      <c r="B379">
        <v>65280</v>
      </c>
      <c r="C379" t="s">
        <v>465</v>
      </c>
      <c r="D379">
        <v>378</v>
      </c>
      <c r="G379">
        <v>0</v>
      </c>
    </row>
    <row r="380" spans="1:7" x14ac:dyDescent="0.25">
      <c r="A380" t="b">
        <v>1</v>
      </c>
      <c r="B380">
        <v>65280</v>
      </c>
      <c r="C380" t="s">
        <v>466</v>
      </c>
      <c r="D380">
        <v>379</v>
      </c>
      <c r="G380">
        <v>0</v>
      </c>
    </row>
    <row r="381" spans="1:7" x14ac:dyDescent="0.25">
      <c r="A381" t="b">
        <v>1</v>
      </c>
      <c r="B381">
        <v>65280</v>
      </c>
      <c r="C381" t="s">
        <v>467</v>
      </c>
      <c r="D381">
        <v>380</v>
      </c>
      <c r="G381">
        <v>0</v>
      </c>
    </row>
    <row r="382" spans="1:7" x14ac:dyDescent="0.25">
      <c r="A382" t="b">
        <v>1</v>
      </c>
      <c r="B382">
        <v>65280</v>
      </c>
      <c r="C382" t="s">
        <v>468</v>
      </c>
      <c r="D382">
        <v>381</v>
      </c>
      <c r="G382">
        <v>0</v>
      </c>
    </row>
    <row r="383" spans="1:7" x14ac:dyDescent="0.25">
      <c r="A383" t="b">
        <v>1</v>
      </c>
      <c r="B383">
        <v>65280</v>
      </c>
      <c r="C383" t="s">
        <v>469</v>
      </c>
      <c r="D383">
        <v>382</v>
      </c>
      <c r="G383">
        <v>0</v>
      </c>
    </row>
    <row r="384" spans="1:7" x14ac:dyDescent="0.25">
      <c r="A384" t="b">
        <v>1</v>
      </c>
      <c r="B384">
        <v>65280</v>
      </c>
      <c r="C384" t="s">
        <v>470</v>
      </c>
      <c r="D384">
        <v>383</v>
      </c>
      <c r="G384">
        <v>0</v>
      </c>
    </row>
    <row r="385" spans="1:8" x14ac:dyDescent="0.25">
      <c r="A385" t="b">
        <v>1</v>
      </c>
      <c r="B385">
        <v>65280</v>
      </c>
      <c r="C385" t="s">
        <v>471</v>
      </c>
      <c r="D385">
        <v>384</v>
      </c>
      <c r="G385">
        <v>0</v>
      </c>
    </row>
    <row r="386" spans="1:8" x14ac:dyDescent="0.25">
      <c r="A386" t="s">
        <v>472</v>
      </c>
      <c r="B386" t="s">
        <v>473</v>
      </c>
      <c r="C386" t="s">
        <v>474</v>
      </c>
      <c r="D386" t="s">
        <v>475</v>
      </c>
      <c r="E386" t="s">
        <v>476</v>
      </c>
      <c r="F386" t="s">
        <v>477</v>
      </c>
      <c r="G386" t="s">
        <v>478</v>
      </c>
      <c r="H386" t="s">
        <v>479</v>
      </c>
    </row>
  </sheetData>
  <autoFilter ref="A1:H386" xr:uid="{1B693EDE-5F6C-4DA1-A824-4E63C5830781}">
    <sortState xmlns:xlrd2="http://schemas.microsoft.com/office/spreadsheetml/2017/richdata2" ref="A2:H386">
      <sortCondition ref="D2:D38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0E33-14BD-4123-9B50-17848E7C3790}">
  <dimension ref="A1:T14"/>
  <sheetViews>
    <sheetView workbookViewId="0">
      <selection activeCell="E21" sqref="E21"/>
    </sheetView>
  </sheetViews>
  <sheetFormatPr defaultRowHeight="15" x14ac:dyDescent="0.25"/>
  <sheetData>
    <row r="1" spans="1:20" x14ac:dyDescent="0.25"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 spans="1:20" x14ac:dyDescent="0.25">
      <c r="B2" s="5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</row>
    <row r="3" spans="1:20" x14ac:dyDescent="0.25">
      <c r="B3" s="5"/>
    </row>
    <row r="4" spans="1:20" x14ac:dyDescent="0.25">
      <c r="A4" t="s">
        <v>63</v>
      </c>
      <c r="B4" s="5" t="s">
        <v>64</v>
      </c>
      <c r="C4">
        <v>22.21</v>
      </c>
      <c r="D4">
        <v>22.13</v>
      </c>
      <c r="E4">
        <v>22.37</v>
      </c>
      <c r="F4">
        <v>21.77</v>
      </c>
      <c r="G4">
        <v>21.8</v>
      </c>
      <c r="H4">
        <v>21.81</v>
      </c>
      <c r="I4">
        <v>22.33</v>
      </c>
      <c r="J4">
        <v>22.46</v>
      </c>
      <c r="K4">
        <v>22.5</v>
      </c>
      <c r="L4">
        <v>22.29</v>
      </c>
      <c r="M4">
        <v>22.47</v>
      </c>
      <c r="N4">
        <v>22.52</v>
      </c>
      <c r="O4">
        <v>22.68</v>
      </c>
      <c r="P4">
        <v>22.8</v>
      </c>
      <c r="Q4">
        <v>22.78</v>
      </c>
      <c r="R4">
        <v>23.23</v>
      </c>
      <c r="S4">
        <v>23.26</v>
      </c>
      <c r="T4">
        <v>23.33</v>
      </c>
    </row>
    <row r="5" spans="1:20" x14ac:dyDescent="0.25">
      <c r="A5" t="s">
        <v>65</v>
      </c>
      <c r="B5" s="5" t="s">
        <v>66</v>
      </c>
      <c r="C5">
        <v>22.22</v>
      </c>
      <c r="D5">
        <v>22.17</v>
      </c>
      <c r="E5">
        <v>22.14</v>
      </c>
      <c r="F5">
        <v>22.14</v>
      </c>
      <c r="G5">
        <v>21.95</v>
      </c>
      <c r="H5">
        <v>21.95</v>
      </c>
      <c r="I5">
        <v>22.51</v>
      </c>
      <c r="J5">
        <v>22.47</v>
      </c>
      <c r="K5">
        <v>22.58</v>
      </c>
      <c r="L5">
        <v>33.799999999999997</v>
      </c>
      <c r="M5">
        <v>34.24</v>
      </c>
      <c r="N5">
        <v>34.17</v>
      </c>
      <c r="O5">
        <v>33.89</v>
      </c>
      <c r="P5">
        <v>35</v>
      </c>
      <c r="Q5">
        <v>33.159999999999997</v>
      </c>
      <c r="R5">
        <v>32.81</v>
      </c>
      <c r="S5">
        <v>33.840000000000003</v>
      </c>
      <c r="T5">
        <v>32.549999999999997</v>
      </c>
    </row>
    <row r="6" spans="1:20" x14ac:dyDescent="0.25">
      <c r="A6" t="s">
        <v>67</v>
      </c>
      <c r="B6" s="5" t="s">
        <v>68</v>
      </c>
      <c r="C6">
        <v>30.58</v>
      </c>
      <c r="D6">
        <v>31.67</v>
      </c>
      <c r="E6">
        <v>30.95</v>
      </c>
      <c r="F6">
        <v>29.89</v>
      </c>
      <c r="G6">
        <v>29.89</v>
      </c>
      <c r="H6">
        <v>29.96</v>
      </c>
      <c r="I6">
        <v>29.82</v>
      </c>
      <c r="J6">
        <v>29.94</v>
      </c>
      <c r="K6">
        <v>29.74</v>
      </c>
      <c r="L6">
        <v>33</v>
      </c>
      <c r="M6">
        <v>32.71</v>
      </c>
      <c r="N6">
        <v>32.78</v>
      </c>
      <c r="O6">
        <v>33.89</v>
      </c>
      <c r="P6">
        <v>35.11</v>
      </c>
      <c r="Q6">
        <v>37.89</v>
      </c>
      <c r="R6">
        <v>33.18</v>
      </c>
      <c r="S6">
        <v>34.14</v>
      </c>
      <c r="T6">
        <v>34.81</v>
      </c>
    </row>
    <row r="7" spans="1:20" x14ac:dyDescent="0.25">
      <c r="A7" t="s">
        <v>69</v>
      </c>
      <c r="B7" s="5" t="s">
        <v>70</v>
      </c>
      <c r="C7">
        <v>26.71</v>
      </c>
      <c r="D7">
        <v>26.93</v>
      </c>
      <c r="E7">
        <v>26.94</v>
      </c>
      <c r="F7">
        <v>26.26</v>
      </c>
      <c r="G7">
        <v>25.88</v>
      </c>
      <c r="H7">
        <v>26.43</v>
      </c>
      <c r="I7">
        <v>25.67</v>
      </c>
      <c r="J7">
        <v>25.64</v>
      </c>
      <c r="K7">
        <v>25.89</v>
      </c>
      <c r="L7">
        <v>29.31</v>
      </c>
      <c r="M7">
        <v>29.48</v>
      </c>
      <c r="N7">
        <v>29.42</v>
      </c>
      <c r="O7">
        <v>29.54</v>
      </c>
      <c r="P7">
        <v>29.64</v>
      </c>
      <c r="Q7">
        <v>29.06</v>
      </c>
      <c r="R7">
        <v>30.68</v>
      </c>
      <c r="S7">
        <v>30.19</v>
      </c>
      <c r="T7">
        <v>30.5</v>
      </c>
    </row>
    <row r="8" spans="1:20" x14ac:dyDescent="0.25">
      <c r="A8" t="s">
        <v>71</v>
      </c>
      <c r="B8" s="5" t="s">
        <v>72</v>
      </c>
      <c r="C8">
        <v>28.71</v>
      </c>
      <c r="D8">
        <v>28.53</v>
      </c>
      <c r="E8">
        <v>28.67</v>
      </c>
      <c r="F8">
        <v>27.68</v>
      </c>
      <c r="G8">
        <v>27.61</v>
      </c>
      <c r="H8">
        <v>27.84</v>
      </c>
      <c r="I8">
        <v>28.16</v>
      </c>
      <c r="J8">
        <v>27.89</v>
      </c>
      <c r="K8">
        <v>27.85</v>
      </c>
      <c r="L8">
        <v>27.93</v>
      </c>
      <c r="M8">
        <v>28.02</v>
      </c>
      <c r="N8">
        <v>28.08</v>
      </c>
      <c r="O8">
        <v>29.5</v>
      </c>
      <c r="P8">
        <v>29.25</v>
      </c>
      <c r="Q8">
        <v>29.2</v>
      </c>
      <c r="R8">
        <v>29.25</v>
      </c>
      <c r="S8">
        <v>29.5</v>
      </c>
      <c r="T8">
        <v>29.42</v>
      </c>
    </row>
    <row r="9" spans="1:20" x14ac:dyDescent="0.25">
      <c r="A9" t="s">
        <v>73</v>
      </c>
      <c r="B9" s="5" t="s">
        <v>74</v>
      </c>
      <c r="C9">
        <v>32.57</v>
      </c>
      <c r="D9">
        <v>32.299999999999997</v>
      </c>
      <c r="E9">
        <v>32.86</v>
      </c>
      <c r="F9">
        <v>31.48</v>
      </c>
      <c r="G9">
        <v>31.49</v>
      </c>
      <c r="H9">
        <v>31.14</v>
      </c>
      <c r="I9">
        <v>30.97</v>
      </c>
      <c r="J9">
        <v>31.58</v>
      </c>
      <c r="K9">
        <v>31.02</v>
      </c>
      <c r="L9">
        <v>33.590000000000003</v>
      </c>
      <c r="M9">
        <v>33.090000000000003</v>
      </c>
      <c r="N9">
        <v>33.53</v>
      </c>
      <c r="O9">
        <v>40</v>
      </c>
      <c r="P9">
        <v>34.82</v>
      </c>
      <c r="Q9">
        <v>34.880000000000003</v>
      </c>
      <c r="R9">
        <v>36.65</v>
      </c>
      <c r="S9">
        <v>35.74</v>
      </c>
      <c r="T9">
        <v>36.08</v>
      </c>
    </row>
    <row r="10" spans="1:20" x14ac:dyDescent="0.25">
      <c r="A10" t="s">
        <v>75</v>
      </c>
      <c r="B10" s="5" t="s">
        <v>76</v>
      </c>
      <c r="C10">
        <v>26.01</v>
      </c>
      <c r="D10">
        <v>25.98</v>
      </c>
      <c r="E10">
        <v>25.98</v>
      </c>
      <c r="F10">
        <v>25.68</v>
      </c>
      <c r="G10">
        <v>25.64</v>
      </c>
      <c r="H10">
        <v>25.68</v>
      </c>
      <c r="I10">
        <v>25.24</v>
      </c>
      <c r="J10">
        <v>25.34</v>
      </c>
      <c r="K10">
        <v>25.34</v>
      </c>
      <c r="L10">
        <v>27.12</v>
      </c>
      <c r="M10">
        <v>27.03</v>
      </c>
      <c r="N10">
        <v>27.04</v>
      </c>
      <c r="O10">
        <v>28.22</v>
      </c>
      <c r="P10">
        <v>28.52</v>
      </c>
      <c r="Q10">
        <v>28.46</v>
      </c>
      <c r="R10">
        <v>28.76</v>
      </c>
      <c r="S10">
        <v>29.16</v>
      </c>
      <c r="T10">
        <v>28.93</v>
      </c>
    </row>
    <row r="11" spans="1:20" x14ac:dyDescent="0.25">
      <c r="A11" t="s">
        <v>77</v>
      </c>
      <c r="B11" s="5" t="s">
        <v>78</v>
      </c>
      <c r="C11">
        <v>31.87</v>
      </c>
      <c r="D11">
        <v>32.619999999999997</v>
      </c>
      <c r="E11">
        <v>31.49</v>
      </c>
      <c r="F11">
        <v>31</v>
      </c>
      <c r="G11">
        <v>31.55</v>
      </c>
      <c r="H11">
        <v>31.06</v>
      </c>
      <c r="I11">
        <v>31.05</v>
      </c>
      <c r="J11">
        <v>31.16</v>
      </c>
      <c r="K11">
        <v>31.17</v>
      </c>
      <c r="L11">
        <v>31.51</v>
      </c>
      <c r="M11">
        <v>31.22</v>
      </c>
      <c r="N11">
        <v>31.26</v>
      </c>
      <c r="O11">
        <v>33.17</v>
      </c>
      <c r="P11">
        <v>32.58</v>
      </c>
      <c r="Q11">
        <v>33.520000000000003</v>
      </c>
      <c r="R11">
        <v>33.57</v>
      </c>
      <c r="S11">
        <v>34.53</v>
      </c>
      <c r="T11">
        <v>34.51</v>
      </c>
    </row>
    <row r="12" spans="1:20" x14ac:dyDescent="0.25">
      <c r="A12" t="s">
        <v>79</v>
      </c>
      <c r="B12" s="5" t="s">
        <v>80</v>
      </c>
      <c r="C12">
        <v>30.91</v>
      </c>
      <c r="D12">
        <v>31.15</v>
      </c>
      <c r="E12">
        <v>31.14</v>
      </c>
      <c r="F12">
        <v>30.9</v>
      </c>
      <c r="G12">
        <v>30.94</v>
      </c>
      <c r="H12">
        <v>30.89</v>
      </c>
      <c r="I12">
        <v>30.88</v>
      </c>
      <c r="J12">
        <v>29.84</v>
      </c>
      <c r="K12">
        <v>31.02</v>
      </c>
      <c r="L12">
        <v>32.28</v>
      </c>
      <c r="M12">
        <v>32.130000000000003</v>
      </c>
      <c r="N12">
        <v>33.020000000000003</v>
      </c>
      <c r="O12">
        <v>32.68</v>
      </c>
      <c r="P12">
        <v>32.74</v>
      </c>
      <c r="Q12">
        <v>32.44</v>
      </c>
      <c r="R12">
        <v>32.630000000000003</v>
      </c>
      <c r="S12">
        <v>32.72</v>
      </c>
      <c r="T12">
        <v>32.159999999999997</v>
      </c>
    </row>
    <row r="13" spans="1:20" x14ac:dyDescent="0.25">
      <c r="A13" t="s">
        <v>81</v>
      </c>
      <c r="B13" s="5" t="s">
        <v>82</v>
      </c>
      <c r="C13">
        <v>29.59</v>
      </c>
      <c r="D13">
        <v>29.27</v>
      </c>
      <c r="E13">
        <v>29.63</v>
      </c>
      <c r="F13">
        <v>28.63</v>
      </c>
      <c r="G13">
        <v>28.63</v>
      </c>
      <c r="H13">
        <v>28.68</v>
      </c>
      <c r="I13">
        <v>28.28</v>
      </c>
      <c r="J13">
        <v>29.75</v>
      </c>
      <c r="K13">
        <v>28.14</v>
      </c>
      <c r="L13">
        <v>37.020000000000003</v>
      </c>
      <c r="M13">
        <v>38.26</v>
      </c>
      <c r="N13">
        <v>39.119999999999997</v>
      </c>
      <c r="P13">
        <v>37.020000000000003</v>
      </c>
      <c r="Q13">
        <v>40</v>
      </c>
      <c r="R13">
        <v>36.64</v>
      </c>
      <c r="S13">
        <v>40</v>
      </c>
      <c r="T13">
        <v>40</v>
      </c>
    </row>
    <row r="14" spans="1:20" x14ac:dyDescent="0.25">
      <c r="A14" t="s">
        <v>83</v>
      </c>
      <c r="B14" s="5" t="s">
        <v>84</v>
      </c>
      <c r="C14">
        <v>23.3</v>
      </c>
      <c r="D14">
        <v>23.13</v>
      </c>
      <c r="E14">
        <v>23.19</v>
      </c>
      <c r="F14">
        <v>23.35</v>
      </c>
      <c r="G14">
        <v>23.25</v>
      </c>
      <c r="H14">
        <v>23.19</v>
      </c>
      <c r="I14">
        <v>22.51</v>
      </c>
      <c r="J14">
        <v>22.58</v>
      </c>
      <c r="K14">
        <v>22.54</v>
      </c>
      <c r="L14">
        <v>19.690000000000001</v>
      </c>
      <c r="M14">
        <v>19.899999999999999</v>
      </c>
      <c r="N14">
        <v>19.760000000000002</v>
      </c>
      <c r="O14">
        <v>21.47</v>
      </c>
      <c r="P14">
        <v>21.49</v>
      </c>
      <c r="Q14">
        <v>21.43</v>
      </c>
      <c r="R14">
        <v>23.02</v>
      </c>
      <c r="S14">
        <v>23.07</v>
      </c>
      <c r="T14">
        <v>23.34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68D1-2779-4A4D-BE24-8A35E317122C}">
  <dimension ref="A2:P28"/>
  <sheetViews>
    <sheetView tabSelected="1" workbookViewId="0">
      <selection activeCell="H25" sqref="H25"/>
    </sheetView>
  </sheetViews>
  <sheetFormatPr defaultRowHeight="15" x14ac:dyDescent="0.25"/>
  <cols>
    <col min="8" max="8" width="15.5703125" customWidth="1"/>
    <col min="9" max="9" width="20.5703125" customWidth="1"/>
    <col min="10" max="10" width="16" customWidth="1"/>
    <col min="14" max="14" width="11.7109375" customWidth="1"/>
    <col min="15" max="15" width="12.85546875" customWidth="1"/>
    <col min="16" max="16" width="19.7109375" customWidth="1"/>
    <col min="20" max="20" width="16.5703125" customWidth="1"/>
  </cols>
  <sheetData>
    <row r="2" spans="1:16" x14ac:dyDescent="0.25">
      <c r="C2" s="5" t="s">
        <v>480</v>
      </c>
      <c r="D2" s="5" t="s">
        <v>481</v>
      </c>
      <c r="E2" s="5" t="s">
        <v>482</v>
      </c>
      <c r="F2" s="15" t="s">
        <v>484</v>
      </c>
      <c r="G2" s="15"/>
      <c r="H2" s="15"/>
      <c r="J2" t="s">
        <v>487</v>
      </c>
      <c r="K2" t="s">
        <v>488</v>
      </c>
      <c r="L2" t="s">
        <v>489</v>
      </c>
      <c r="M2" s="5" t="s">
        <v>490</v>
      </c>
      <c r="N2" s="5"/>
      <c r="O2" s="5"/>
    </row>
    <row r="3" spans="1:16" x14ac:dyDescent="0.25">
      <c r="C3" s="15" t="s">
        <v>483</v>
      </c>
      <c r="D3" s="15"/>
      <c r="E3" s="15"/>
      <c r="F3" s="5" t="s">
        <v>485</v>
      </c>
      <c r="G3" s="5" t="s">
        <v>486</v>
      </c>
      <c r="H3" s="5" t="s">
        <v>491</v>
      </c>
      <c r="I3" s="5" t="s">
        <v>492</v>
      </c>
      <c r="J3" s="15" t="s">
        <v>483</v>
      </c>
      <c r="K3" s="15"/>
      <c r="L3" s="15"/>
      <c r="M3" s="5" t="s">
        <v>485</v>
      </c>
      <c r="N3" s="5" t="s">
        <v>486</v>
      </c>
      <c r="O3" s="5" t="s">
        <v>491</v>
      </c>
      <c r="P3" s="5" t="s">
        <v>492</v>
      </c>
    </row>
    <row r="4" spans="1:16" x14ac:dyDescent="0.25">
      <c r="A4" t="s">
        <v>63</v>
      </c>
      <c r="B4" s="5" t="s">
        <v>64</v>
      </c>
      <c r="C4" s="5">
        <f>AVERAGE('plate.layout.raw.Ct.values'!C4:E4)</f>
        <v>22.236666666666668</v>
      </c>
      <c r="D4" s="5">
        <f>AVERAGE('plate.layout.raw.Ct.values'!F4:H4)</f>
        <v>21.793333333333333</v>
      </c>
      <c r="E4" s="5">
        <f>AVERAGE('plate.layout.raw.Ct.values'!I4:K4)</f>
        <v>22.429999999999996</v>
      </c>
      <c r="F4" s="6">
        <f>AVERAGE(C4:E4)</f>
        <v>22.153333333333332</v>
      </c>
      <c r="G4" s="6">
        <f>F4-$F$14</f>
        <v>-0.85111111111111271</v>
      </c>
      <c r="H4" s="6">
        <f>2^(-G4)</f>
        <v>1.8038896804198497</v>
      </c>
      <c r="I4">
        <f>LOG(H4)</f>
        <v>0.25620997408734447</v>
      </c>
      <c r="J4">
        <f>AVERAGE('plate.layout.raw.Ct.values'!L4:N4)</f>
        <v>22.426666666666666</v>
      </c>
      <c r="K4">
        <f>AVERAGE('plate.layout.raw.Ct.values'!O4:Q4)</f>
        <v>22.753333333333334</v>
      </c>
      <c r="L4">
        <f>AVERAGE('plate.layout.raw.Ct.values'!R4:T4)</f>
        <v>23.27333333333333</v>
      </c>
      <c r="M4">
        <f>AVERAGE(J4:L4)</f>
        <v>22.817777777777778</v>
      </c>
      <c r="N4">
        <f t="shared" ref="N4:N14" si="0">M4-$M$14</f>
        <v>1.354444444444443</v>
      </c>
      <c r="O4">
        <f>2^(-N4)</f>
        <v>0.39108539242534429</v>
      </c>
      <c r="P4">
        <f>LOG(O4)</f>
        <v>-0.40772840523821402</v>
      </c>
    </row>
    <row r="5" spans="1:16" x14ac:dyDescent="0.25">
      <c r="A5" t="s">
        <v>65</v>
      </c>
      <c r="B5" s="5" t="s">
        <v>66</v>
      </c>
      <c r="C5" s="5">
        <f>AVERAGE('plate.layout.raw.Ct.values'!C5:E5)</f>
        <v>22.176666666666666</v>
      </c>
      <c r="D5" s="5">
        <f>AVERAGE('plate.layout.raw.Ct.values'!F5:H5)</f>
        <v>22.013333333333335</v>
      </c>
      <c r="E5" s="5">
        <f>AVERAGE('plate.layout.raw.Ct.values'!I5:K5)</f>
        <v>22.52</v>
      </c>
      <c r="F5" s="6">
        <f t="shared" ref="F5:F14" si="1">AVERAGE(C5:E5)</f>
        <v>22.236666666666665</v>
      </c>
      <c r="G5" s="6">
        <f t="shared" ref="G5:G14" si="2">F5-$F$14</f>
        <v>-0.76777777777778056</v>
      </c>
      <c r="H5" s="6">
        <f t="shared" ref="H5:H14" si="3">2^(-G5)</f>
        <v>1.7026451322598868</v>
      </c>
      <c r="I5">
        <f t="shared" ref="I5:I14" si="4">LOG(H5)</f>
        <v>0.23112414111534643</v>
      </c>
      <c r="J5">
        <f>AVERAGE('plate.layout.raw.Ct.values'!L5:N5)</f>
        <v>34.07</v>
      </c>
      <c r="K5">
        <f>AVERAGE('plate.layout.raw.Ct.values'!O5:Q5)</f>
        <v>34.016666666666666</v>
      </c>
      <c r="L5">
        <f>AVERAGE('plate.layout.raw.Ct.values'!R5:T5)</f>
        <v>33.06666666666667</v>
      </c>
      <c r="M5">
        <f t="shared" ref="M5:M14" si="5">AVERAGE(J5:L5)</f>
        <v>33.717777777777776</v>
      </c>
      <c r="N5">
        <f t="shared" si="0"/>
        <v>12.254444444444442</v>
      </c>
      <c r="O5">
        <f t="shared" ref="O5:O14" si="6">2^(-N5)</f>
        <v>2.0466550057962732E-4</v>
      </c>
      <c r="P5">
        <f t="shared" ref="P5:P14" si="7">LOG(O5)</f>
        <v>-3.6889553579756087</v>
      </c>
    </row>
    <row r="6" spans="1:16" x14ac:dyDescent="0.25">
      <c r="A6" t="s">
        <v>67</v>
      </c>
      <c r="B6" s="5" t="s">
        <v>68</v>
      </c>
      <c r="C6" s="5">
        <f>AVERAGE('plate.layout.raw.Ct.values'!C6:E6)</f>
        <v>31.066666666666666</v>
      </c>
      <c r="D6" s="5">
        <f>AVERAGE('plate.layout.raw.Ct.values'!F6:H6)</f>
        <v>29.913333333333338</v>
      </c>
      <c r="E6" s="5">
        <f>AVERAGE('plate.layout.raw.Ct.values'!I6:K6)</f>
        <v>29.833333333333332</v>
      </c>
      <c r="F6" s="6">
        <f t="shared" si="1"/>
        <v>30.271111111111111</v>
      </c>
      <c r="G6" s="6">
        <f t="shared" si="2"/>
        <v>7.2666666666666657</v>
      </c>
      <c r="H6" s="6">
        <f t="shared" si="3"/>
        <v>6.4940460636155354E-3</v>
      </c>
      <c r="I6">
        <f t="shared" si="4"/>
        <v>-2.1874846351582629</v>
      </c>
      <c r="J6">
        <f>AVERAGE('plate.layout.raw.Ct.values'!L6:N6)</f>
        <v>32.830000000000005</v>
      </c>
      <c r="K6">
        <f>AVERAGE('plate.layout.raw.Ct.values'!O6:Q6)</f>
        <v>35.630000000000003</v>
      </c>
      <c r="L6">
        <f>AVERAGE('plate.layout.raw.Ct.values'!R6:T6)</f>
        <v>34.043333333333329</v>
      </c>
      <c r="M6">
        <f t="shared" si="5"/>
        <v>34.167777777777779</v>
      </c>
      <c r="N6">
        <f t="shared" si="0"/>
        <v>12.704444444444444</v>
      </c>
      <c r="O6">
        <f t="shared" si="6"/>
        <v>1.4982391592609139E-4</v>
      </c>
      <c r="P6">
        <f t="shared" si="7"/>
        <v>-3.8244188560244012</v>
      </c>
    </row>
    <row r="7" spans="1:16" x14ac:dyDescent="0.25">
      <c r="A7" t="s">
        <v>69</v>
      </c>
      <c r="B7" s="5" t="s">
        <v>70</v>
      </c>
      <c r="C7" s="5">
        <f>AVERAGE('plate.layout.raw.Ct.values'!C7:E7)</f>
        <v>26.86</v>
      </c>
      <c r="D7" s="5">
        <f>AVERAGE('plate.layout.raw.Ct.values'!F7:H7)</f>
        <v>26.189999999999998</v>
      </c>
      <c r="E7" s="5">
        <f>AVERAGE('plate.layout.raw.Ct.values'!I7:K7)</f>
        <v>25.733333333333334</v>
      </c>
      <c r="F7" s="6">
        <f t="shared" si="1"/>
        <v>26.261111111111109</v>
      </c>
      <c r="G7" s="6">
        <f t="shared" si="2"/>
        <v>3.2566666666666642</v>
      </c>
      <c r="H7" s="6">
        <f t="shared" si="3"/>
        <v>0.10462745161730652</v>
      </c>
      <c r="I7">
        <f t="shared" si="4"/>
        <v>-0.98035435254569792</v>
      </c>
      <c r="J7">
        <f>AVERAGE('plate.layout.raw.Ct.values'!L7:N7)</f>
        <v>29.403333333333336</v>
      </c>
      <c r="K7">
        <f>AVERAGE('plate.layout.raw.Ct.values'!O7:Q7)</f>
        <v>29.41333333333333</v>
      </c>
      <c r="L7">
        <f>AVERAGE('plate.layout.raw.Ct.values'!R7:T7)</f>
        <v>30.456666666666667</v>
      </c>
      <c r="M7">
        <f t="shared" si="5"/>
        <v>29.757777777777775</v>
      </c>
      <c r="N7">
        <f t="shared" si="0"/>
        <v>8.2944444444444407</v>
      </c>
      <c r="O7">
        <f t="shared" si="6"/>
        <v>3.1851025872541845E-3</v>
      </c>
      <c r="P7">
        <f t="shared" si="7"/>
        <v>-2.4968765751462429</v>
      </c>
    </row>
    <row r="8" spans="1:16" x14ac:dyDescent="0.25">
      <c r="A8" t="s">
        <v>71</v>
      </c>
      <c r="B8" s="5" t="s">
        <v>72</v>
      </c>
      <c r="C8" s="5">
        <f>AVERAGE('plate.layout.raw.Ct.values'!C8:E8)</f>
        <v>28.636666666666667</v>
      </c>
      <c r="D8" s="5">
        <f>AVERAGE('plate.layout.raw.Ct.values'!F8:H8)</f>
        <v>27.709999999999997</v>
      </c>
      <c r="E8" s="5">
        <f>AVERAGE('plate.layout.raw.Ct.values'!I8:K8)</f>
        <v>27.966666666666669</v>
      </c>
      <c r="F8" s="6">
        <f t="shared" si="1"/>
        <v>28.104444444444443</v>
      </c>
      <c r="G8" s="6">
        <f t="shared" si="2"/>
        <v>5.0999999999999979</v>
      </c>
      <c r="H8" s="6">
        <f t="shared" si="3"/>
        <v>2.915728098552528E-2</v>
      </c>
      <c r="I8">
        <f t="shared" si="4"/>
        <v>-1.5352529778863033</v>
      </c>
      <c r="J8">
        <f>AVERAGE('plate.layout.raw.Ct.values'!L8:N8)</f>
        <v>28.01</v>
      </c>
      <c r="K8">
        <f>AVERAGE('plate.layout.raw.Ct.values'!O8:Q8)</f>
        <v>29.316666666666666</v>
      </c>
      <c r="L8">
        <f>AVERAGE('plate.layout.raw.Ct.values'!R8:T8)</f>
        <v>29.39</v>
      </c>
      <c r="M8">
        <f t="shared" si="5"/>
        <v>28.905555555555555</v>
      </c>
      <c r="N8">
        <f t="shared" si="0"/>
        <v>7.4422222222222203</v>
      </c>
      <c r="O8">
        <f t="shared" si="6"/>
        <v>5.7500004239991213E-3</v>
      </c>
      <c r="P8">
        <f t="shared" si="7"/>
        <v>-2.2403321232859397</v>
      </c>
    </row>
    <row r="9" spans="1:16" x14ac:dyDescent="0.25">
      <c r="A9" t="s">
        <v>73</v>
      </c>
      <c r="B9" s="5" t="s">
        <v>74</v>
      </c>
      <c r="C9" s="5">
        <f>AVERAGE('plate.layout.raw.Ct.values'!C9:E9)</f>
        <v>32.576666666666668</v>
      </c>
      <c r="D9" s="5">
        <f>AVERAGE('plate.layout.raw.Ct.values'!F9:H9)</f>
        <v>31.37</v>
      </c>
      <c r="E9" s="5">
        <f>AVERAGE('plate.layout.raw.Ct.values'!I9:K9)</f>
        <v>31.189999999999998</v>
      </c>
      <c r="F9" s="6">
        <f t="shared" si="1"/>
        <v>31.712222222222223</v>
      </c>
      <c r="G9" s="6">
        <f t="shared" si="2"/>
        <v>8.7077777777777783</v>
      </c>
      <c r="H9" s="6">
        <f t="shared" si="3"/>
        <v>2.3916503804176613E-3</v>
      </c>
      <c r="I9">
        <f t="shared" si="4"/>
        <v>-2.6213023066873564</v>
      </c>
      <c r="J9">
        <f>AVERAGE('plate.layout.raw.Ct.values'!L9:N9)</f>
        <v>33.403333333333336</v>
      </c>
      <c r="K9">
        <f>AVERAGE('plate.layout.raw.Ct.values'!O9:Q9)</f>
        <v>36.566666666666663</v>
      </c>
      <c r="L9">
        <f>AVERAGE('plate.layout.raw.Ct.values'!R9:T9)</f>
        <v>36.156666666666666</v>
      </c>
      <c r="M9">
        <f t="shared" si="5"/>
        <v>35.375555555555557</v>
      </c>
      <c r="N9">
        <f t="shared" si="0"/>
        <v>13.912222222222223</v>
      </c>
      <c r="O9">
        <f t="shared" si="6"/>
        <v>6.4864011613117634E-5</v>
      </c>
      <c r="P9">
        <f t="shared" si="7"/>
        <v>-4.1879961952318983</v>
      </c>
    </row>
    <row r="10" spans="1:16" x14ac:dyDescent="0.25">
      <c r="A10" t="s">
        <v>75</v>
      </c>
      <c r="B10" s="5" t="s">
        <v>76</v>
      </c>
      <c r="C10" s="5">
        <f>AVERAGE('plate.layout.raw.Ct.values'!C10:E10)</f>
        <v>25.99</v>
      </c>
      <c r="D10" s="5">
        <f>AVERAGE('plate.layout.raw.Ct.values'!F10:H10)</f>
        <v>25.666666666666668</v>
      </c>
      <c r="E10" s="5">
        <f>AVERAGE('plate.layout.raw.Ct.values'!I10:K10)</f>
        <v>25.306666666666668</v>
      </c>
      <c r="F10" s="6">
        <f t="shared" si="1"/>
        <v>25.654444444444447</v>
      </c>
      <c r="G10" s="6">
        <f t="shared" si="2"/>
        <v>2.6500000000000021</v>
      </c>
      <c r="H10" s="6">
        <f t="shared" si="3"/>
        <v>0.15932007841490756</v>
      </c>
      <c r="I10">
        <f t="shared" si="4"/>
        <v>-0.79772948850955072</v>
      </c>
      <c r="J10">
        <f>AVERAGE('plate.layout.raw.Ct.values'!L10:N10)</f>
        <v>27.063333333333333</v>
      </c>
      <c r="K10">
        <f>AVERAGE('plate.layout.raw.Ct.values'!O10:Q10)</f>
        <v>28.399999999999995</v>
      </c>
      <c r="L10">
        <f>AVERAGE('plate.layout.raw.Ct.values'!R10:T10)</f>
        <v>28.95</v>
      </c>
      <c r="M10">
        <f t="shared" si="5"/>
        <v>28.137777777777774</v>
      </c>
      <c r="N10">
        <f t="shared" si="0"/>
        <v>6.6744444444444397</v>
      </c>
      <c r="O10">
        <f t="shared" si="6"/>
        <v>9.7902102324143904E-3</v>
      </c>
      <c r="P10">
        <f t="shared" si="7"/>
        <v>-2.0092079821705933</v>
      </c>
    </row>
    <row r="11" spans="1:16" x14ac:dyDescent="0.25">
      <c r="A11" t="s">
        <v>77</v>
      </c>
      <c r="B11" s="5" t="s">
        <v>78</v>
      </c>
      <c r="C11" s="5">
        <f>AVERAGE('plate.layout.raw.Ct.values'!C11:E11)</f>
        <v>31.993333333333329</v>
      </c>
      <c r="D11" s="5">
        <f>AVERAGE('plate.layout.raw.Ct.values'!F11:H11)</f>
        <v>31.203333333333333</v>
      </c>
      <c r="E11" s="5">
        <f>AVERAGE('plate.layout.raw.Ct.values'!I11:K11)</f>
        <v>31.126666666666665</v>
      </c>
      <c r="F11" s="6">
        <f t="shared" si="1"/>
        <v>31.441111111111109</v>
      </c>
      <c r="G11" s="6">
        <f t="shared" si="2"/>
        <v>8.4366666666666639</v>
      </c>
      <c r="H11" s="6">
        <f t="shared" si="3"/>
        <v>2.886092657401626E-3</v>
      </c>
      <c r="I11">
        <f t="shared" si="4"/>
        <v>-2.5396897300851204</v>
      </c>
      <c r="J11">
        <f>AVERAGE('plate.layout.raw.Ct.values'!L11:N11)</f>
        <v>31.330000000000002</v>
      </c>
      <c r="K11">
        <f>AVERAGE('plate.layout.raw.Ct.values'!O11:Q11)</f>
        <v>33.090000000000003</v>
      </c>
      <c r="L11">
        <f>AVERAGE('plate.layout.raw.Ct.values'!R11:T11)</f>
        <v>34.203333333333326</v>
      </c>
      <c r="M11">
        <f t="shared" si="5"/>
        <v>32.874444444444443</v>
      </c>
      <c r="N11">
        <f t="shared" si="0"/>
        <v>11.411111111111108</v>
      </c>
      <c r="O11">
        <f t="shared" si="6"/>
        <v>3.6720896180712575E-4</v>
      </c>
      <c r="P11">
        <f t="shared" si="7"/>
        <v>-3.4350867282989843</v>
      </c>
    </row>
    <row r="12" spans="1:16" x14ac:dyDescent="0.25">
      <c r="A12" t="s">
        <v>79</v>
      </c>
      <c r="B12" s="5" t="s">
        <v>80</v>
      </c>
      <c r="C12" s="5">
        <f>AVERAGE('plate.layout.raw.Ct.values'!C12:E12)</f>
        <v>31.066666666666666</v>
      </c>
      <c r="D12" s="5">
        <f>AVERAGE('plate.layout.raw.Ct.values'!F12:H12)</f>
        <v>30.91</v>
      </c>
      <c r="E12" s="5">
        <f>AVERAGE('plate.layout.raw.Ct.values'!I12:K12)</f>
        <v>30.58</v>
      </c>
      <c r="F12" s="6">
        <f t="shared" si="1"/>
        <v>30.852222222222224</v>
      </c>
      <c r="G12" s="6">
        <f t="shared" si="2"/>
        <v>7.8477777777777789</v>
      </c>
      <c r="H12" s="6">
        <f t="shared" si="3"/>
        <v>4.3409370661012039E-3</v>
      </c>
      <c r="I12">
        <f t="shared" si="4"/>
        <v>-2.3624165104163328</v>
      </c>
      <c r="J12">
        <f>AVERAGE('plate.layout.raw.Ct.values'!L12:N12)</f>
        <v>32.476666666666667</v>
      </c>
      <c r="K12">
        <f>AVERAGE('plate.layout.raw.Ct.values'!O12:Q12)</f>
        <v>32.619999999999997</v>
      </c>
      <c r="L12">
        <f>AVERAGE('plate.layout.raw.Ct.values'!R12:T12)</f>
        <v>32.50333333333333</v>
      </c>
      <c r="M12">
        <f t="shared" si="5"/>
        <v>32.533333333333331</v>
      </c>
      <c r="N12">
        <f t="shared" si="0"/>
        <v>11.069999999999997</v>
      </c>
      <c r="O12">
        <f t="shared" si="6"/>
        <v>4.6515527248239242E-4</v>
      </c>
      <c r="P12">
        <f t="shared" si="7"/>
        <v>-3.3324020520002708</v>
      </c>
    </row>
    <row r="13" spans="1:16" x14ac:dyDescent="0.25">
      <c r="A13" t="s">
        <v>81</v>
      </c>
      <c r="B13" s="5" t="s">
        <v>82</v>
      </c>
      <c r="C13" s="5">
        <f>AVERAGE('plate.layout.raw.Ct.values'!C13:E13)</f>
        <v>29.496666666666666</v>
      </c>
      <c r="D13" s="5">
        <f>AVERAGE('plate.layout.raw.Ct.values'!F13:H13)</f>
        <v>28.646666666666665</v>
      </c>
      <c r="E13" s="5">
        <f>AVERAGE('plate.layout.raw.Ct.values'!I13:K13)</f>
        <v>28.723333333333333</v>
      </c>
      <c r="F13" s="6">
        <f t="shared" si="1"/>
        <v>28.955555555555552</v>
      </c>
      <c r="G13" s="6">
        <f t="shared" si="2"/>
        <v>5.951111111111107</v>
      </c>
      <c r="H13" s="6">
        <f t="shared" si="3"/>
        <v>1.616356105476421E-2</v>
      </c>
      <c r="I13">
        <f t="shared" si="4"/>
        <v>-1.7914629519736469</v>
      </c>
      <c r="J13">
        <f>AVERAGE('plate.layout.raw.Ct.values'!L13:N13)</f>
        <v>38.133333333333333</v>
      </c>
      <c r="K13">
        <f>AVERAGE('plate.layout.raw.Ct.values'!O13:Q13)</f>
        <v>38.510000000000005</v>
      </c>
      <c r="L13">
        <f>AVERAGE('plate.layout.raw.Ct.values'!R13:T13)</f>
        <v>38.880000000000003</v>
      </c>
      <c r="M13">
        <f t="shared" si="5"/>
        <v>38.507777777777783</v>
      </c>
      <c r="N13">
        <f t="shared" si="0"/>
        <v>17.044444444444448</v>
      </c>
      <c r="O13">
        <f t="shared" si="6"/>
        <v>7.3979426929223302E-6</v>
      </c>
      <c r="P13">
        <f t="shared" si="7"/>
        <v>-5.1308890372060807</v>
      </c>
    </row>
    <row r="14" spans="1:16" x14ac:dyDescent="0.25">
      <c r="A14" t="s">
        <v>83</v>
      </c>
      <c r="B14" s="5" t="s">
        <v>84</v>
      </c>
      <c r="C14" s="5">
        <f>AVERAGE('plate.layout.raw.Ct.values'!C14:E14)</f>
        <v>23.206666666666667</v>
      </c>
      <c r="D14" s="5">
        <f>AVERAGE('plate.layout.raw.Ct.values'!F14:H14)</f>
        <v>23.263333333333335</v>
      </c>
      <c r="E14" s="5">
        <f>AVERAGE('plate.layout.raw.Ct.values'!I14:K14)</f>
        <v>22.543333333333333</v>
      </c>
      <c r="F14" s="6">
        <f t="shared" si="1"/>
        <v>23.004444444444445</v>
      </c>
      <c r="G14" s="6">
        <f t="shared" si="2"/>
        <v>0</v>
      </c>
      <c r="H14" s="6">
        <f t="shared" si="3"/>
        <v>1</v>
      </c>
      <c r="I14">
        <f t="shared" si="4"/>
        <v>0</v>
      </c>
      <c r="J14">
        <f>AVERAGE('plate.layout.raw.Ct.values'!L14:N14)</f>
        <v>19.783333333333335</v>
      </c>
      <c r="K14">
        <f>AVERAGE('plate.layout.raw.Ct.values'!O14:Q14)</f>
        <v>21.463333333333328</v>
      </c>
      <c r="L14">
        <f>AVERAGE('plate.layout.raw.Ct.values'!R14:T14)</f>
        <v>23.143333333333334</v>
      </c>
      <c r="M14">
        <f t="shared" si="5"/>
        <v>21.463333333333335</v>
      </c>
      <c r="N14">
        <f t="shared" si="0"/>
        <v>0</v>
      </c>
      <c r="O14">
        <f t="shared" si="6"/>
        <v>1</v>
      </c>
      <c r="P14">
        <f t="shared" si="7"/>
        <v>0</v>
      </c>
    </row>
    <row r="15" spans="1:16" x14ac:dyDescent="0.25">
      <c r="F15" s="6"/>
      <c r="G15" s="6"/>
      <c r="H15" s="6"/>
    </row>
    <row r="16" spans="1:16" x14ac:dyDescent="0.25">
      <c r="F16" s="6"/>
      <c r="G16" s="6"/>
      <c r="H16" s="6"/>
    </row>
    <row r="18" spans="9:14" x14ac:dyDescent="0.25">
      <c r="I18">
        <v>0.25620997408734397</v>
      </c>
      <c r="J18">
        <v>-0.40772840523821402</v>
      </c>
      <c r="M18">
        <v>0.25620997408734447</v>
      </c>
      <c r="N18">
        <v>-0.40772840523821402</v>
      </c>
    </row>
    <row r="19" spans="9:14" x14ac:dyDescent="0.25">
      <c r="I19">
        <v>0.23112414111534643</v>
      </c>
      <c r="J19">
        <v>-3.6889553579756087</v>
      </c>
      <c r="M19">
        <v>0.23112414111534643</v>
      </c>
      <c r="N19">
        <v>-3.6889553579756087</v>
      </c>
    </row>
    <row r="20" spans="9:14" x14ac:dyDescent="0.25">
      <c r="I20">
        <v>-2.1874846351582629</v>
      </c>
      <c r="J20">
        <v>-3.8244188560244012</v>
      </c>
      <c r="M20">
        <v>-2.1874846351582629</v>
      </c>
      <c r="N20">
        <v>-3.8244188560244012</v>
      </c>
    </row>
    <row r="21" spans="9:14" x14ac:dyDescent="0.25">
      <c r="I21">
        <v>-0.98035435254569792</v>
      </c>
      <c r="J21">
        <v>-2.4968765751462429</v>
      </c>
      <c r="M21">
        <v>-0.98035435254569792</v>
      </c>
      <c r="N21">
        <v>-2.4968765751462429</v>
      </c>
    </row>
    <row r="22" spans="9:14" x14ac:dyDescent="0.25">
      <c r="I22">
        <v>-1.5352529778863033</v>
      </c>
      <c r="J22">
        <v>-2.2403321232859397</v>
      </c>
      <c r="M22">
        <v>-1.5352529778863033</v>
      </c>
      <c r="N22">
        <v>-2.2403321232859397</v>
      </c>
    </row>
    <row r="23" spans="9:14" x14ac:dyDescent="0.25">
      <c r="I23">
        <v>-2.6213023066873564</v>
      </c>
      <c r="J23">
        <v>-4.1879961952318983</v>
      </c>
      <c r="M23">
        <v>-2.6213023066873564</v>
      </c>
      <c r="N23">
        <v>-4.1879961952318983</v>
      </c>
    </row>
    <row r="24" spans="9:14" x14ac:dyDescent="0.25">
      <c r="I24">
        <v>-0.79772948850955072</v>
      </c>
      <c r="J24">
        <v>-2.0092079821705933</v>
      </c>
      <c r="M24">
        <v>-0.79772948850955072</v>
      </c>
      <c r="N24">
        <v>-2.0092079821705933</v>
      </c>
    </row>
    <row r="25" spans="9:14" x14ac:dyDescent="0.25">
      <c r="I25">
        <v>-2.5396897300851204</v>
      </c>
      <c r="J25">
        <v>-3.4350867282989843</v>
      </c>
      <c r="M25">
        <v>-2.5396897300851204</v>
      </c>
      <c r="N25">
        <v>-3.4350867282989843</v>
      </c>
    </row>
    <row r="26" spans="9:14" x14ac:dyDescent="0.25">
      <c r="I26">
        <v>-2.3624165104163328</v>
      </c>
      <c r="J26">
        <v>-3.3324020520002708</v>
      </c>
      <c r="M26">
        <v>-2.3624165104163328</v>
      </c>
      <c r="N26">
        <v>-3.3324020520002708</v>
      </c>
    </row>
    <row r="27" spans="9:14" x14ac:dyDescent="0.25">
      <c r="I27">
        <v>-1.79146295197365</v>
      </c>
      <c r="J27">
        <v>-5.1308890372060807</v>
      </c>
      <c r="M27">
        <v>-1.7914629519736469</v>
      </c>
      <c r="N27">
        <v>-5.1308890372060807</v>
      </c>
    </row>
    <row r="28" spans="9:14" x14ac:dyDescent="0.25">
      <c r="I28">
        <v>0</v>
      </c>
      <c r="J28">
        <v>0</v>
      </c>
    </row>
  </sheetData>
  <mergeCells count="3">
    <mergeCell ref="C3:E3"/>
    <mergeCell ref="F2:H2"/>
    <mergeCell ref="J3:L3"/>
  </mergeCells>
  <conditionalFormatting sqref="I18:J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:N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:N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:N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f810a4-b0f8-4738-97c8-de7ac07265cc">
      <Terms xmlns="http://schemas.microsoft.com/office/infopath/2007/PartnerControls"/>
    </lcf76f155ced4ddcb4097134ff3c332f>
    <TaxCatchAll xmlns="3d8b84cc-f399-4fea-a0e6-6b86b62bcb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B7572DA45B4D4688B00B24B6294500" ma:contentTypeVersion="229" ma:contentTypeDescription="Create a new document." ma:contentTypeScope="" ma:versionID="14b68ed2b31fdb03dac82b803787e2a1">
  <xsd:schema xmlns:xsd="http://www.w3.org/2001/XMLSchema" xmlns:xs="http://www.w3.org/2001/XMLSchema" xmlns:p="http://schemas.microsoft.com/office/2006/metadata/properties" xmlns:ns1="http://schemas.microsoft.com/sharepoint/v3" xmlns:ns2="01f810a4-b0f8-4738-97c8-de7ac07265cc" xmlns:ns3="3d8b84cc-f399-4fea-a0e6-6b86b62bcbff" targetNamespace="http://schemas.microsoft.com/office/2006/metadata/properties" ma:root="true" ma:fieldsID="84e2a3d212fdc68848861c81ecfee1e3" ns1:_="" ns2:_="" ns3:_="">
    <xsd:import namespace="http://schemas.microsoft.com/sharepoint/v3"/>
    <xsd:import namespace="01f810a4-b0f8-4738-97c8-de7ac07265cc"/>
    <xsd:import namespace="3d8b84cc-f399-4fea-a0e6-6b86b62bcb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dlc_Exempt" minOccurs="0"/>
                <xsd:element ref="ns1:_dlc_ExpireDateSaved" minOccurs="0"/>
                <xsd:element ref="ns1:_dlc_ExpireDa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26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27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8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810a4-b0f8-4738-97c8-de7ac0726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b84cc-f399-4fea-a0e6-6b86b62bcbf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4e66e4-3a1b-407f-b538-758858f54f16}" ma:internalName="TaxCatchAll" ma:showField="CatchAllData" ma:web="3d8b84cc-f399-4fea-a0e6-6b86b62bcb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0D9221-B158-49D2-A7D2-188E3749E4A9}">
  <ds:schemaRefs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01f810a4-b0f8-4738-97c8-de7ac07265cc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d8b84cc-f399-4fea-a0e6-6b86b62bcbf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C939538-8CF1-4572-987B-7944E2E96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83336D-BB42-46AA-8AE0-73B4452827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810a4-b0f8-4738-97c8-de7ac07265cc"/>
    <ds:schemaRef ds:uri="3d8b84cc-f399-4fea-a0e6-6b86b62bcb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qPCR.primers.iNeurons</vt:lpstr>
      <vt:lpstr>qPCR-raw-data</vt:lpstr>
      <vt:lpstr>plate.layout.raw.Ct.values</vt:lpstr>
      <vt:lpstr>qPCR.analyzed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Deon Ploessl</dc:creator>
  <cp:lastModifiedBy>Deon Ploessl</cp:lastModifiedBy>
  <dcterms:created xsi:type="dcterms:W3CDTF">2025-08-13T11:22:50Z</dcterms:created>
  <dcterms:modified xsi:type="dcterms:W3CDTF">2025-10-08T18:51:34Z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/sites/GallowayLab/Shared Documents</vt:lpwstr>
  </property>
  <property fmtid="{D5CDD505-2E9C-101B-9397-08002B2CF9AE}" pid="3" name="ContentTypeId">
    <vt:lpwstr>0x010100DEB7572DA45B4D4688B00B24B6294500</vt:lpwstr>
  </property>
  <property fmtid="{D5CDD505-2E9C-101B-9397-08002B2CF9AE}" pid="4" name="ItemRetentionFormula">
    <vt:lpwstr/>
  </property>
  <property fmtid="{D5CDD505-2E9C-101B-9397-08002B2CF9AE}" pid="5" name="MediaServiceImageTags">
    <vt:lpwstr/>
  </property>
</Properties>
</file>